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ables/table2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eorg\Documents\GitHub\modern-excel-demo-day-america250\"/>
    </mc:Choice>
  </mc:AlternateContent>
  <xr:revisionPtr revIDLastSave="0" documentId="13_ncr:1_{B558F5A3-4785-41F4-9E9D-F30227CC4895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census_merge" sheetId="4" r:id="rId1"/>
    <sheet name="Merge1" sheetId="3" r:id="rId2"/>
    <sheet name="regions" sheetId="2" r:id="rId3"/>
    <sheet name="Sheet1" sheetId="1" r:id="rId4"/>
  </sheets>
  <definedNames>
    <definedName name="ExternalData_1" localSheetId="1">Merge1!$A$1</definedName>
    <definedName name="ExternalData_1" localSheetId="2" hidden="1">'regions'!$A$1:$C$51</definedName>
    <definedName name="ExternalData_2" localSheetId="0" hidden="1">census_merge!$A$1:$E$997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4" l="1" a="1"/>
  <c r="G1" i="4" l="1"/>
  <c r="G2" i="4" a="1"/>
  <c r="G2" i="4" l="1"/>
  <c r="G26" i="4" a="1"/>
  <c r="G26" i="4" l="1"/>
  <c r="G53" i="4" a="1"/>
  <c r="G53" i="4" l="1"/>
  <c r="G76" i="4" a="1"/>
  <c r="G76" i="4" l="1"/>
  <c r="G122" i="4" a="1"/>
  <c r="G122" i="4" l="1"/>
  <c r="G129" i="4" a="1"/>
  <c r="G129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758CAF-BC0A-49D8-B039-95336C425F79}" keepAlive="1" name="Query - census_complete" description="Connection to the 'census_complete' query in the workbook." type="5" refreshedVersion="0" background="1" saveData="1">
    <dbPr connection="Provider=Microsoft.Mashup.OleDb.1;Data Source=$Workbook$;Location=census_complete;Extended Properties=&quot;&quot;" command="SELECT * FROM [census_complete]"/>
  </connection>
  <connection id="2" xr16:uid="{ACB40065-3FC8-4BB1-9DA3-EDC8A6B89541}" keepAlive="1" name="Query - Merge1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3" xr16:uid="{0A4C03E7-FE82-404C-837B-EB219DB830FE}" keepAlive="1" name="Query - populations" description="Connection to the 'populations' query in the workbook." type="5" refreshedVersion="0" background="1">
    <dbPr connection="Provider=Microsoft.Mashup.OleDb.1;Data Source=$Workbook$;Location=populations;Extended Properties=&quot;&quot;" command="SELECT * FROM [populations]"/>
  </connection>
  <connection id="4" xr16:uid="{7B4D238A-128D-44C5-ADD0-4F3E7AD84F06}" keepAlive="1" name="Query - regions" description="Connection to the 'regions' query in the workbook." type="5" refreshedVersion="8" background="1" saveData="1">
    <dbPr connection="Provider=Microsoft.Mashup.OleDb.1;Data Source=$Workbook$;Location=regions;Extended Properties=&quot;&quot;" command="SELECT * FROM [region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census_df = xl(%P2%, headers=True)</code>
    </pythonScript>
    <pythonScript>
      <code>ranked = census_df.copy()
ranked["Rank"] = ranked.groupby("Year")["Population"].rank(
    ascending=False,
    method="min"
)
top_states = ["California", "Texas", "New York", "Florida", "Ohio"]
plot_df = ranked[ranked["State"].isin(top_states)]
fig, ax = plt.subplots()
for state in top_states:
    data = plot_df[plot_df["State"] == state]
    ax.plot(data["Year"], data["Rank"], label=state)
ax.invert_yaxis()
ax.legend()</code>
    </pythonScript>
    <pythonScript>
      <code>regional = (
    census_df
    .groupby(["Year", "Region"])["Population"]
    .sum()
    .reset_index()
)
sns.relplot(
    data=regional,
    x="Year",
    y="Population",
    col="Region",
    kind="line"
)</code>
    </pythonScript>
    <pythonScript>
      <code>growth = census_df.copy()
growth["Previous"] = (
    growth
    .groupby("State")["Population"]
    .shift(1)
)
growth["GrowthRate"] = (
    growth["Population"] /
    growth["Previous"] - 1
)
growth.sort_values(
    "GrowthRate",
    ascending=False
).head(20)</code>
    </pythonScript>
    <pythonScript>
      <code>pivot = census_df.pivot_table(
    index="State",
    columns="Year",
    values="Population"
)
fig, ax = plt.subplots(figsize=(12,10))
sns.heatmap(pivot, ax=ax)
plt.show()</code>
    </pythonScript>
    <pythonScript>
      <code>from statsmodels.tsa.holtwinters import ExponentialSmoothing
ohio = (
    census_df[census_df["State"]=="Ohio"]
    .sort_values("Year")
)
series = ohio["Population"]
model = ExponentialSmoothing(
    series,
    trend="add"
)
fit = model.fit()
forecast = fit.forecast(3)
forecast</code>
    </pythonScript>
    <pythonScript>
      <code>year = xl(%P2%)
(
    census_df[census_df["Year"] == year]
    .nlargest(10, "Population")
)</code>
    </pythonScript>
  </pythonScripts>
</python>
</file>

<file path=xl/sharedStrings.xml><?xml version="1.0" encoding="utf-8"?>
<sst xmlns="http://schemas.openxmlformats.org/spreadsheetml/2006/main" count="3147" uniqueCount="73">
  <si>
    <t>state</t>
  </si>
  <si>
    <t>region</t>
  </si>
  <si>
    <t>division</t>
  </si>
  <si>
    <t>Alabama</t>
  </si>
  <si>
    <t>South</t>
  </si>
  <si>
    <t>East South Central</t>
  </si>
  <si>
    <t>Alaska</t>
  </si>
  <si>
    <t>West</t>
  </si>
  <si>
    <t>Pacific</t>
  </si>
  <si>
    <t>Arizona</t>
  </si>
  <si>
    <t>Mountain</t>
  </si>
  <si>
    <t>Arkansas</t>
  </si>
  <si>
    <t>West South Central</t>
  </si>
  <si>
    <t>California</t>
  </si>
  <si>
    <t>Colorado</t>
  </si>
  <si>
    <t>Connecticut</t>
  </si>
  <si>
    <t>Northeast</t>
  </si>
  <si>
    <t>New England</t>
  </si>
  <si>
    <t>Delaware</t>
  </si>
  <si>
    <t>South Atlantic</t>
  </si>
  <si>
    <t>Florida</t>
  </si>
  <si>
    <t>Georgia</t>
  </si>
  <si>
    <t>Hawaii</t>
  </si>
  <si>
    <t>Idaho</t>
  </si>
  <si>
    <t>Illinois</t>
  </si>
  <si>
    <t>Midwest</t>
  </si>
  <si>
    <t>East North Central</t>
  </si>
  <si>
    <t>Indiana</t>
  </si>
  <si>
    <t>Iowa</t>
  </si>
  <si>
    <t>West North Central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</si>
  <si>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</si>
  <si>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</si>
  <si>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</si>
  <si>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</si>
  <si>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</si>
  <si>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</si>
  <si>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</si>
  <si>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</si>
  <si>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</si>
  <si>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</si>
  <si>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</si>
  <si>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</si>
  <si>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</si>
  <si>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</si>
  <si>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</si>
  <si>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Middle Atlantic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</si>
  <si>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</si>
  <si>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</si>
  <si>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</si>
  <si>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</si>
  <si>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</si>
  <si>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</si>
  <si>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</si>
  <si>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</si>
  <si>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</si>
  <si>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</si>
  <si>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</si>
  <si>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</si>
  <si>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</si>
  <si>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</si>
  <si>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</si>
  <si>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</si>
  <si>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</si>
  <si>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</si>
  <si>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</si>
  <si>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</si>
  <si>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</si>
  <si>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Year</t>
  </si>
  <si>
    <t>Population</t>
  </si>
  <si>
    <t>Dist. of Columbia</t>
  </si>
  <si>
    <t>Region</t>
  </si>
  <si>
    <t>Division</t>
  </si>
  <si>
    <t>Year: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</si>
</sst>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Array" Target="richData/rdarray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" Target="richData/rdrichvalue.xml"/><Relationship Id="rId5" Type="http://schemas.openxmlformats.org/officeDocument/2006/relationships/theme" Target="theme/theme1.xml"/><Relationship Id="rId15" Type="http://schemas.microsoft.com/office/2017/06/relationships/rdSupportingPropertyBag" Target="richData/rdsupportingpropertybag.xml"/><Relationship Id="rId10" Type="http://schemas.microsoft.com/office/2022/10/relationships/richValueRel" Target="richData/richValueRel.xml"/><Relationship Id="rId19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Structure" Target="richData/rdsupportingpropertybag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12</xdr:col>
      <xdr:colOff>592168</xdr:colOff>
      <xdr:row>21</xdr:row>
      <xdr:rowOff>135812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C529223B-0C6B-AD73-C0E0-95DD5A6C0DEB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census_merge!G2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5833" y="182033"/>
          <a:ext cx="4965202" cy="377647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33</xdr:col>
      <xdr:colOff>301618</xdr:colOff>
      <xdr:row>49</xdr:row>
      <xdr:rowOff>111769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CD917A21-EE61-A7F0-4858-52007671B123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census_merge!G26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85833" y="4550833"/>
          <a:ext cx="18187452" cy="448056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75</xdr:row>
      <xdr:rowOff>0</xdr:rowOff>
    </xdr:from>
    <xdr:to>
      <xdr:col>19</xdr:col>
      <xdr:colOff>531895</xdr:colOff>
      <xdr:row>118</xdr:row>
      <xdr:rowOff>118719</xdr:rowOff>
    </xdr:to>
    <xdr:pic>
      <xdr:nvPicPr>
        <xdr:cNvPr id="4" name="Picture 3" descr="Image generated by Python">
          <a:extLst>
            <a:ext uri="{FF2B5EF4-FFF2-40B4-BE49-F238E27FC236}">
              <a16:creationId xmlns:a16="http://schemas.microsoft.com/office/drawing/2014/main" id="{CB30E7F5-AC5A-2E86-DCE7-4D8C5C955F81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census_merge!G76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85833" y="13652500"/>
          <a:ext cx="9409195" cy="7946152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F5CE735-A91B-4FE7-B347-D049011F061E}" autoFormatId="16" applyNumberFormats="0" applyBorderFormats="0" applyFontFormats="0" applyPatternFormats="0" applyAlignmentFormats="0" applyWidthHeightFormats="0">
  <queryTableRefresh nextId="8">
    <queryTableFields count="5">
      <queryTableField id="1" name="State" tableColumnId="1"/>
      <queryTableField id="2" name="Year" tableColumnId="2"/>
      <queryTableField id="3" name="Population" tableColumnId="3"/>
      <queryTableField id="6" name="Region" tableColumnId="6"/>
      <queryTableField id="7" name="Division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" xr16:uid="{47A053A4-42FE-45CE-9508-E0B51BD40B89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B5A92DF-B702-4863-A49C-D636D67B6104}" autoFormatId="16" applyNumberFormats="0" applyBorderFormats="0" applyFontFormats="0" applyPatternFormats="0" applyAlignmentFormats="0" applyWidthHeightFormats="0">
  <queryTableRefresh nextId="4">
    <queryTableFields count="3">
      <queryTableField id="1" name="state" tableColumnId="1"/>
      <queryTableField id="2" name="region" tableColumnId="2"/>
      <queryTableField id="3" name="division" tableColumnId="3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6">
    <v t="s"/>
    <v t="s">State</v>
    <v t="s">Year</v>
    <v t="s">Population</v>
    <v t="s">Region</v>
    <v t="s">Division</v>
    <v>0</v>
    <v t="s">Alabama</v>
    <v>2010</v>
    <v>4779736</v>
    <v t="s">South</v>
    <v t="s">East South Central</v>
    <v>1</v>
    <v t="s">Alabama</v>
    <v>2000</v>
    <v>4447100</v>
    <v t="s">South</v>
    <v t="s">East South Central</v>
    <v>2</v>
    <v t="s">Alabama</v>
    <v>1990</v>
    <v>4040587</v>
    <v t="s">South</v>
    <v t="s">East South Central</v>
    <v>3</v>
    <v t="s">Alabama</v>
    <v>1980</v>
    <v>3894025</v>
    <v t="s">South</v>
    <v t="s">East South Central</v>
    <v>4</v>
    <v t="s">Alabama</v>
    <v>1970</v>
    <v>3444354</v>
    <v t="s">South</v>
    <v t="s">East South Central</v>
    <v t="s">...</v>
    <v t="s">...</v>
    <v t="s">...</v>
    <v t="s">...</v>
    <v t="s">...</v>
    <v t="s">...</v>
    <v>991</v>
    <v t="s">Wyoming</v>
    <v>1910</v>
    <v>145965</v>
    <v t="s">West</v>
    <v t="s">Mountain</v>
    <v>992</v>
    <v t="s">Wyoming</v>
    <v>1900</v>
    <v>92631</v>
    <v t="s">West</v>
    <v t="s">Mountain</v>
    <v>993</v>
    <v t="s">Wyoming</v>
    <v>1890</v>
    <v>62555</v>
    <v t="s">West</v>
    <v t="s">Mountain</v>
    <v>994</v>
    <v t="s">Wyoming</v>
    <v>1880</v>
    <v>20789</v>
    <v t="s">West</v>
    <v t="s">Mountain</v>
    <v>995</v>
    <v t="s">Wyoming</v>
    <v>1870</v>
    <v>9118</v>
    <v t="s">West</v>
    <v t="s">Mountain</v>
  </a>
</arrayData>
</file>

<file path=xl/richData/rdrichvalue.xml><?xml version="1.0" encoding="utf-8"?>
<rvData xmlns="http://schemas.microsoft.com/office/spreadsheetml/2017/richdata" count="6">
  <rv s="0">
    <v>0</v>
  </rv>
  <rv s="1">
    <v>DataFrame</v>
    <v>1</v>
    <v>0</v>
  </rv>
  <rv s="2">
    <v>&lt;class 'pandas.core.frame.DataFrame'&gt;</v>
    <v>DataFrame</v>
    <v xml:space="preserve">       State  Year  Population Region            Division
0    Alabama  2010     4779736  South  East South Central
1    Alabama  2000     4447100  South  East South Central
2    Alabama  1990     4040587  South  East South Central
3    Alabama  1980  ...</v>
    <v>1</v>
    <v>2</v>
  </rv>
  <rv s="3">
    <v>0</v>
    <v>9</v>
    <v>Image generated by Python</v>
  </rv>
  <rv s="3">
    <v>1</v>
    <v>9</v>
    <v>Image generated by Python</v>
  </rv>
  <rv s="3">
    <v>2</v>
    <v>9</v>
    <v>Image generated by Python</v>
  </rv>
</rvData>
</file>

<file path=xl/richData/rdrichvaluestructure.xml><?xml version="1.0" encoding="utf-8"?>
<rvStructures xmlns="http://schemas.microsoft.com/office/spreadsheetml/2017/richdata" count="4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  <k n="Text" t="s"/>
  </s>
</rvStructures>
</file>

<file path=xl/richData/rdsupportingpropertybag.xml><?xml version="1.0" encoding="utf-8"?>
<supportingPropertyBags xmlns="http://schemas.microsoft.com/office/spreadsheetml/2017/richdata2">
  <spbData count="3">
    <spb s="0">
      <v>996</v>
      <v>5</v>
      <v>DataFrame</v>
      <v>arrayPreview</v>
      <v>1</v>
    </spb>
    <spb s="1">
      <v>0</v>
    </spb>
    <spb s="2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  <k n="headers" t="b"/>
  </s>
  <s>
    <k n="ArrayCardInfo" t="spb"/>
  </s>
  <s>
    <k n="link" t="s"/>
    <k n="logo" t="s"/>
    <k n="name" t="s"/>
  </s>
</spb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1757CE-89BF-4B3E-B931-49D20701CE52}" name="census_complete" displayName="census_complete" ref="A1:E997" tableType="queryTable" totalsRowShown="0">
  <autoFilter ref="A1:E997" xr:uid="{C01757CE-89BF-4B3E-B931-49D20701CE52}"/>
  <tableColumns count="5">
    <tableColumn id="1" xr3:uid="{612A2862-D7C8-4F4A-9F69-1A570D546A5F}" uniqueName="1" name="State" queryTableFieldId="1" dataDxfId="2"/>
    <tableColumn id="2" xr3:uid="{68D0CACF-E7AB-4338-9288-7E4E20B4551C}" uniqueName="2" name="Year" queryTableFieldId="2"/>
    <tableColumn id="3" xr3:uid="{7D067B82-2ED2-4FE0-9A63-65335FD7C4B7}" uniqueName="3" name="Population" queryTableFieldId="3"/>
    <tableColumn id="6" xr3:uid="{6BED66D4-BEF7-4F58-BE7F-A3AEF8653F3F}" uniqueName="6" name="Region" queryTableFieldId="6" dataDxfId="1"/>
    <tableColumn id="7" xr3:uid="{2F616FC4-852E-47D0-9632-C1FDC6EC6127}" uniqueName="7" name="Division" queryTableFieldId="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881281-3E35-4E05-AC1D-008BD8AC5A57}" name="regions" displayName="regions" ref="A1:C51" tableType="queryTable" totalsRowShown="0">
  <autoFilter ref="A1:C51" xr:uid="{45881281-3E35-4E05-AC1D-008BD8AC5A57}"/>
  <tableColumns count="3">
    <tableColumn id="1" xr3:uid="{97781479-ECE5-4451-80F9-287BAEFB3D62}" uniqueName="1" name="state" queryTableFieldId="1" dataDxfId="5"/>
    <tableColumn id="2" xr3:uid="{1AC215E2-2021-415C-809C-13DFF0907542}" uniqueName="2" name="region" queryTableFieldId="2" dataDxfId="4"/>
    <tableColumn id="3" xr3:uid="{066BE6A7-745C-4707-BD84-D23266FA0B75}" uniqueName="3" name="division" queryTableFieldId="3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CD66B-3B7A-49C1-8037-906E0C33921F}">
  <dimension ref="A1:N997"/>
  <sheetViews>
    <sheetView tabSelected="1" topLeftCell="A20" workbookViewId="0"/>
  </sheetViews>
  <sheetFormatPr defaultRowHeight="14.35" x14ac:dyDescent="0.5"/>
  <cols>
    <col min="1" max="1" width="14.234375" bestFit="1" customWidth="1"/>
    <col min="2" max="2" width="6.5859375" bestFit="1" customWidth="1"/>
    <col min="3" max="3" width="11.8203125" bestFit="1" customWidth="1"/>
    <col min="4" max="4" width="8.64453125" bestFit="1" customWidth="1"/>
    <col min="5" max="5" width="16.05859375" bestFit="1" customWidth="1"/>
    <col min="6" max="6" width="14.703125" bestFit="1" customWidth="1"/>
    <col min="7" max="7" width="16.05859375" bestFit="1" customWidth="1"/>
  </cols>
  <sheetData>
    <row r="1" spans="1:7" x14ac:dyDescent="0.5">
      <c r="A1" t="s">
        <v>66</v>
      </c>
      <c r="B1" t="s">
        <v>67</v>
      </c>
      <c r="C1" t="s">
        <v>68</v>
      </c>
      <c r="D1" t="s">
        <v>70</v>
      </c>
      <c r="E1" t="s">
        <v>71</v>
      </c>
      <c r="G1" t="e" cm="1" vm="1">
        <f t="array" ref="G1">_xlfn._xlws.PY(0,1,census_complete[#All])</f>
        <v>#VALUE!</v>
      </c>
    </row>
    <row r="2" spans="1:7" x14ac:dyDescent="0.5">
      <c r="A2" s="1" t="s">
        <v>3</v>
      </c>
      <c r="B2">
        <v>2010</v>
      </c>
      <c r="C2">
        <v>4779736</v>
      </c>
      <c r="D2" s="1" t="s">
        <v>4</v>
      </c>
      <c r="E2" s="1" t="s">
        <v>5</v>
      </c>
      <c r="G2" t="e" cm="1" vm="2">
        <f t="array" ref="G2">_xlfn._xlws.PY(1,0)</f>
        <v>#VALUE!</v>
      </c>
    </row>
    <row r="3" spans="1:7" x14ac:dyDescent="0.5">
      <c r="A3" s="1" t="s">
        <v>3</v>
      </c>
      <c r="B3">
        <v>2000</v>
      </c>
      <c r="C3">
        <v>4447100</v>
      </c>
      <c r="D3" s="1" t="s">
        <v>4</v>
      </c>
      <c r="E3" s="1" t="s">
        <v>5</v>
      </c>
    </row>
    <row r="4" spans="1:7" x14ac:dyDescent="0.5">
      <c r="A4" s="1" t="s">
        <v>3</v>
      </c>
      <c r="B4">
        <v>1990</v>
      </c>
      <c r="C4">
        <v>4040587</v>
      </c>
      <c r="D4" s="1" t="s">
        <v>4</v>
      </c>
      <c r="E4" s="1" t="s">
        <v>5</v>
      </c>
    </row>
    <row r="5" spans="1:7" x14ac:dyDescent="0.5">
      <c r="A5" s="1" t="s">
        <v>3</v>
      </c>
      <c r="B5">
        <v>1980</v>
      </c>
      <c r="C5">
        <v>3894025</v>
      </c>
      <c r="D5" s="1" t="s">
        <v>4</v>
      </c>
      <c r="E5" s="1" t="s">
        <v>5</v>
      </c>
    </row>
    <row r="6" spans="1:7" x14ac:dyDescent="0.5">
      <c r="A6" s="1" t="s">
        <v>3</v>
      </c>
      <c r="B6">
        <v>1970</v>
      </c>
      <c r="C6">
        <v>3444354</v>
      </c>
      <c r="D6" s="1" t="s">
        <v>4</v>
      </c>
      <c r="E6" s="1" t="s">
        <v>5</v>
      </c>
    </row>
    <row r="7" spans="1:7" x14ac:dyDescent="0.5">
      <c r="A7" s="1" t="s">
        <v>3</v>
      </c>
      <c r="B7">
        <v>1960</v>
      </c>
      <c r="C7">
        <v>3266740</v>
      </c>
      <c r="D7" s="1" t="s">
        <v>4</v>
      </c>
      <c r="E7" s="1" t="s">
        <v>5</v>
      </c>
    </row>
    <row r="8" spans="1:7" x14ac:dyDescent="0.5">
      <c r="A8" s="1" t="s">
        <v>3</v>
      </c>
      <c r="B8">
        <v>1950</v>
      </c>
      <c r="C8">
        <v>3061743</v>
      </c>
      <c r="D8" s="1" t="s">
        <v>4</v>
      </c>
      <c r="E8" s="1" t="s">
        <v>5</v>
      </c>
    </row>
    <row r="9" spans="1:7" x14ac:dyDescent="0.5">
      <c r="A9" s="1" t="s">
        <v>3</v>
      </c>
      <c r="B9">
        <v>1940</v>
      </c>
      <c r="C9">
        <v>2832961</v>
      </c>
      <c r="D9" s="1" t="s">
        <v>4</v>
      </c>
      <c r="E9" s="1" t="s">
        <v>5</v>
      </c>
    </row>
    <row r="10" spans="1:7" x14ac:dyDescent="0.5">
      <c r="A10" s="1" t="s">
        <v>3</v>
      </c>
      <c r="B10">
        <v>1930</v>
      </c>
      <c r="C10">
        <v>2646248</v>
      </c>
      <c r="D10" s="1" t="s">
        <v>4</v>
      </c>
      <c r="E10" s="1" t="s">
        <v>5</v>
      </c>
    </row>
    <row r="11" spans="1:7" x14ac:dyDescent="0.5">
      <c r="A11" s="1" t="s">
        <v>3</v>
      </c>
      <c r="B11">
        <v>1920</v>
      </c>
      <c r="C11">
        <v>2348174</v>
      </c>
      <c r="D11" s="1" t="s">
        <v>4</v>
      </c>
      <c r="E11" s="1" t="s">
        <v>5</v>
      </c>
    </row>
    <row r="12" spans="1:7" x14ac:dyDescent="0.5">
      <c r="A12" s="1" t="s">
        <v>3</v>
      </c>
      <c r="B12">
        <v>1910</v>
      </c>
      <c r="C12">
        <v>2138093</v>
      </c>
      <c r="D12" s="1" t="s">
        <v>4</v>
      </c>
      <c r="E12" s="1" t="s">
        <v>5</v>
      </c>
    </row>
    <row r="13" spans="1:7" x14ac:dyDescent="0.5">
      <c r="A13" s="1" t="s">
        <v>3</v>
      </c>
      <c r="B13">
        <v>1900</v>
      </c>
      <c r="C13">
        <v>1828697</v>
      </c>
      <c r="D13" s="1" t="s">
        <v>4</v>
      </c>
      <c r="E13" s="1" t="s">
        <v>5</v>
      </c>
    </row>
    <row r="14" spans="1:7" x14ac:dyDescent="0.5">
      <c r="A14" s="1" t="s">
        <v>3</v>
      </c>
      <c r="B14">
        <v>1890</v>
      </c>
      <c r="C14">
        <v>1513401</v>
      </c>
      <c r="D14" s="1" t="s">
        <v>4</v>
      </c>
      <c r="E14" s="1" t="s">
        <v>5</v>
      </c>
    </row>
    <row r="15" spans="1:7" x14ac:dyDescent="0.5">
      <c r="A15" s="1" t="s">
        <v>3</v>
      </c>
      <c r="B15">
        <v>1880</v>
      </c>
      <c r="C15">
        <v>1262505</v>
      </c>
      <c r="D15" s="1" t="s">
        <v>4</v>
      </c>
      <c r="E15" s="1" t="s">
        <v>5</v>
      </c>
    </row>
    <row r="16" spans="1:7" x14ac:dyDescent="0.5">
      <c r="A16" s="1" t="s">
        <v>3</v>
      </c>
      <c r="B16">
        <v>1870</v>
      </c>
      <c r="C16">
        <v>996992</v>
      </c>
      <c r="D16" s="1" t="s">
        <v>4</v>
      </c>
      <c r="E16" s="1" t="s">
        <v>5</v>
      </c>
    </row>
    <row r="17" spans="1:7" x14ac:dyDescent="0.5">
      <c r="A17" s="1" t="s">
        <v>3</v>
      </c>
      <c r="B17">
        <v>1860</v>
      </c>
      <c r="C17">
        <v>964201</v>
      </c>
      <c r="D17" s="1" t="s">
        <v>4</v>
      </c>
      <c r="E17" s="1" t="s">
        <v>5</v>
      </c>
    </row>
    <row r="18" spans="1:7" x14ac:dyDescent="0.5">
      <c r="A18" s="1" t="s">
        <v>3</v>
      </c>
      <c r="B18">
        <v>1850</v>
      </c>
      <c r="C18">
        <v>771623</v>
      </c>
      <c r="D18" s="1" t="s">
        <v>4</v>
      </c>
      <c r="E18" s="1" t="s">
        <v>5</v>
      </c>
    </row>
    <row r="19" spans="1:7" x14ac:dyDescent="0.5">
      <c r="A19" s="1" t="s">
        <v>3</v>
      </c>
      <c r="B19">
        <v>1840</v>
      </c>
      <c r="C19">
        <v>590756</v>
      </c>
      <c r="D19" s="1" t="s">
        <v>4</v>
      </c>
      <c r="E19" s="1" t="s">
        <v>5</v>
      </c>
    </row>
    <row r="20" spans="1:7" x14ac:dyDescent="0.5">
      <c r="A20" s="1" t="s">
        <v>3</v>
      </c>
      <c r="B20">
        <v>1830</v>
      </c>
      <c r="C20">
        <v>309527</v>
      </c>
      <c r="D20" s="1" t="s">
        <v>4</v>
      </c>
      <c r="E20" s="1" t="s">
        <v>5</v>
      </c>
    </row>
    <row r="21" spans="1:7" x14ac:dyDescent="0.5">
      <c r="A21" s="1" t="s">
        <v>3</v>
      </c>
      <c r="B21">
        <v>1820</v>
      </c>
      <c r="C21">
        <v>127901</v>
      </c>
      <c r="D21" s="1" t="s">
        <v>4</v>
      </c>
      <c r="E21" s="1" t="s">
        <v>5</v>
      </c>
    </row>
    <row r="22" spans="1:7" x14ac:dyDescent="0.5">
      <c r="A22" s="1" t="s">
        <v>3</v>
      </c>
      <c r="B22">
        <v>1810</v>
      </c>
      <c r="C22">
        <v>9046</v>
      </c>
      <c r="D22" s="1" t="s">
        <v>4</v>
      </c>
      <c r="E22" s="1" t="s">
        <v>5</v>
      </c>
    </row>
    <row r="23" spans="1:7" x14ac:dyDescent="0.5">
      <c r="A23" s="1" t="s">
        <v>3</v>
      </c>
      <c r="B23">
        <v>1800</v>
      </c>
      <c r="C23">
        <v>1250</v>
      </c>
      <c r="D23" s="1" t="s">
        <v>4</v>
      </c>
      <c r="E23" s="1" t="s">
        <v>5</v>
      </c>
    </row>
    <row r="24" spans="1:7" x14ac:dyDescent="0.5">
      <c r="A24" s="1" t="s">
        <v>6</v>
      </c>
      <c r="B24">
        <v>2010</v>
      </c>
      <c r="C24">
        <v>710231</v>
      </c>
      <c r="D24" s="1" t="s">
        <v>7</v>
      </c>
      <c r="E24" s="1" t="s">
        <v>8</v>
      </c>
    </row>
    <row r="25" spans="1:7" x14ac:dyDescent="0.5">
      <c r="A25" s="1" t="s">
        <v>6</v>
      </c>
      <c r="B25">
        <v>2000</v>
      </c>
      <c r="C25">
        <v>626932</v>
      </c>
      <c r="D25" s="1" t="s">
        <v>7</v>
      </c>
      <c r="E25" s="1" t="s">
        <v>8</v>
      </c>
    </row>
    <row r="26" spans="1:7" x14ac:dyDescent="0.5">
      <c r="A26" s="1" t="s">
        <v>6</v>
      </c>
      <c r="B26">
        <v>1990</v>
      </c>
      <c r="C26">
        <v>550043</v>
      </c>
      <c r="D26" s="1" t="s">
        <v>7</v>
      </c>
      <c r="E26" s="1" t="s">
        <v>8</v>
      </c>
      <c r="G26" t="e" cm="1" vm="3">
        <f t="array" ref="G26">_xlfn._xlws.PY(2,0)</f>
        <v>#VALUE!</v>
      </c>
    </row>
    <row r="27" spans="1:7" x14ac:dyDescent="0.5">
      <c r="A27" s="1" t="s">
        <v>6</v>
      </c>
      <c r="B27">
        <v>1980</v>
      </c>
      <c r="C27">
        <v>401851</v>
      </c>
      <c r="D27" s="1" t="s">
        <v>7</v>
      </c>
      <c r="E27" s="1" t="s">
        <v>8</v>
      </c>
    </row>
    <row r="28" spans="1:7" x14ac:dyDescent="0.5">
      <c r="A28" s="1" t="s">
        <v>6</v>
      </c>
      <c r="B28">
        <v>1970</v>
      </c>
      <c r="C28">
        <v>302853</v>
      </c>
      <c r="D28" s="1" t="s">
        <v>7</v>
      </c>
      <c r="E28" s="1" t="s">
        <v>8</v>
      </c>
    </row>
    <row r="29" spans="1:7" x14ac:dyDescent="0.5">
      <c r="A29" s="1" t="s">
        <v>6</v>
      </c>
      <c r="B29">
        <v>1960</v>
      </c>
      <c r="C29">
        <v>226167</v>
      </c>
      <c r="D29" s="1" t="s">
        <v>7</v>
      </c>
      <c r="E29" s="1" t="s">
        <v>8</v>
      </c>
    </row>
    <row r="30" spans="1:7" x14ac:dyDescent="0.5">
      <c r="A30" s="1" t="s">
        <v>6</v>
      </c>
      <c r="B30">
        <v>1950</v>
      </c>
      <c r="C30">
        <v>128643</v>
      </c>
      <c r="D30" s="1" t="s">
        <v>7</v>
      </c>
      <c r="E30" s="1" t="s">
        <v>8</v>
      </c>
    </row>
    <row r="31" spans="1:7" x14ac:dyDescent="0.5">
      <c r="A31" s="1" t="s">
        <v>6</v>
      </c>
      <c r="B31">
        <v>1940</v>
      </c>
      <c r="C31">
        <v>72524</v>
      </c>
      <c r="D31" s="1" t="s">
        <v>7</v>
      </c>
      <c r="E31" s="1" t="s">
        <v>8</v>
      </c>
    </row>
    <row r="32" spans="1:7" x14ac:dyDescent="0.5">
      <c r="A32" s="1" t="s">
        <v>6</v>
      </c>
      <c r="B32">
        <v>1930</v>
      </c>
      <c r="C32">
        <v>59278</v>
      </c>
      <c r="D32" s="1" t="s">
        <v>7</v>
      </c>
      <c r="E32" s="1" t="s">
        <v>8</v>
      </c>
    </row>
    <row r="33" spans="1:5" x14ac:dyDescent="0.5">
      <c r="A33" s="1" t="s">
        <v>6</v>
      </c>
      <c r="B33">
        <v>1920</v>
      </c>
      <c r="C33">
        <v>55036</v>
      </c>
      <c r="D33" s="1" t="s">
        <v>7</v>
      </c>
      <c r="E33" s="1" t="s">
        <v>8</v>
      </c>
    </row>
    <row r="34" spans="1:5" x14ac:dyDescent="0.5">
      <c r="A34" s="1" t="s">
        <v>6</v>
      </c>
      <c r="B34">
        <v>1910</v>
      </c>
      <c r="C34">
        <v>64356</v>
      </c>
      <c r="D34" s="1" t="s">
        <v>7</v>
      </c>
      <c r="E34" s="1" t="s">
        <v>8</v>
      </c>
    </row>
    <row r="35" spans="1:5" x14ac:dyDescent="0.5">
      <c r="A35" s="1" t="s">
        <v>6</v>
      </c>
      <c r="B35">
        <v>1900</v>
      </c>
      <c r="C35">
        <v>63592</v>
      </c>
      <c r="D35" s="1" t="s">
        <v>7</v>
      </c>
      <c r="E35" s="1" t="s">
        <v>8</v>
      </c>
    </row>
    <row r="36" spans="1:5" x14ac:dyDescent="0.5">
      <c r="A36" s="1" t="s">
        <v>6</v>
      </c>
      <c r="B36">
        <v>1890</v>
      </c>
      <c r="C36">
        <v>32052</v>
      </c>
      <c r="D36" s="1" t="s">
        <v>7</v>
      </c>
      <c r="E36" s="1" t="s">
        <v>8</v>
      </c>
    </row>
    <row r="37" spans="1:5" x14ac:dyDescent="0.5">
      <c r="A37" s="1" t="s">
        <v>6</v>
      </c>
      <c r="B37">
        <v>1880</v>
      </c>
      <c r="C37">
        <v>33426</v>
      </c>
      <c r="D37" s="1" t="s">
        <v>7</v>
      </c>
      <c r="E37" s="1" t="s">
        <v>8</v>
      </c>
    </row>
    <row r="38" spans="1:5" x14ac:dyDescent="0.5">
      <c r="A38" s="1" t="s">
        <v>9</v>
      </c>
      <c r="B38">
        <v>2010</v>
      </c>
      <c r="C38">
        <v>6392017</v>
      </c>
      <c r="D38" s="1" t="s">
        <v>7</v>
      </c>
      <c r="E38" s="1" t="s">
        <v>10</v>
      </c>
    </row>
    <row r="39" spans="1:5" x14ac:dyDescent="0.5">
      <c r="A39" s="1" t="s">
        <v>9</v>
      </c>
      <c r="B39">
        <v>2000</v>
      </c>
      <c r="C39">
        <v>5130632</v>
      </c>
      <c r="D39" s="1" t="s">
        <v>7</v>
      </c>
      <c r="E39" s="1" t="s">
        <v>10</v>
      </c>
    </row>
    <row r="40" spans="1:5" x14ac:dyDescent="0.5">
      <c r="A40" s="1" t="s">
        <v>9</v>
      </c>
      <c r="B40">
        <v>1990</v>
      </c>
      <c r="C40">
        <v>3665228</v>
      </c>
      <c r="D40" s="1" t="s">
        <v>7</v>
      </c>
      <c r="E40" s="1" t="s">
        <v>10</v>
      </c>
    </row>
    <row r="41" spans="1:5" x14ac:dyDescent="0.5">
      <c r="A41" s="1" t="s">
        <v>9</v>
      </c>
      <c r="B41">
        <v>1980</v>
      </c>
      <c r="C41">
        <v>2716546</v>
      </c>
      <c r="D41" s="1" t="s">
        <v>7</v>
      </c>
      <c r="E41" s="1" t="s">
        <v>10</v>
      </c>
    </row>
    <row r="42" spans="1:5" x14ac:dyDescent="0.5">
      <c r="A42" s="1" t="s">
        <v>9</v>
      </c>
      <c r="B42">
        <v>1970</v>
      </c>
      <c r="C42">
        <v>1775399</v>
      </c>
      <c r="D42" s="1" t="s">
        <v>7</v>
      </c>
      <c r="E42" s="1" t="s">
        <v>10</v>
      </c>
    </row>
    <row r="43" spans="1:5" x14ac:dyDescent="0.5">
      <c r="A43" s="1" t="s">
        <v>9</v>
      </c>
      <c r="B43">
        <v>1960</v>
      </c>
      <c r="C43">
        <v>1302161</v>
      </c>
      <c r="D43" s="1" t="s">
        <v>7</v>
      </c>
      <c r="E43" s="1" t="s">
        <v>10</v>
      </c>
    </row>
    <row r="44" spans="1:5" x14ac:dyDescent="0.5">
      <c r="A44" s="1" t="s">
        <v>9</v>
      </c>
      <c r="B44">
        <v>1950</v>
      </c>
      <c r="C44">
        <v>749587</v>
      </c>
      <c r="D44" s="1" t="s">
        <v>7</v>
      </c>
      <c r="E44" s="1" t="s">
        <v>10</v>
      </c>
    </row>
    <row r="45" spans="1:5" x14ac:dyDescent="0.5">
      <c r="A45" s="1" t="s">
        <v>9</v>
      </c>
      <c r="B45">
        <v>1940</v>
      </c>
      <c r="C45">
        <v>499261</v>
      </c>
      <c r="D45" s="1" t="s">
        <v>7</v>
      </c>
      <c r="E45" s="1" t="s">
        <v>10</v>
      </c>
    </row>
    <row r="46" spans="1:5" x14ac:dyDescent="0.5">
      <c r="A46" s="1" t="s">
        <v>9</v>
      </c>
      <c r="B46">
        <v>1930</v>
      </c>
      <c r="C46">
        <v>435573</v>
      </c>
      <c r="D46" s="1" t="s">
        <v>7</v>
      </c>
      <c r="E46" s="1" t="s">
        <v>10</v>
      </c>
    </row>
    <row r="47" spans="1:5" x14ac:dyDescent="0.5">
      <c r="A47" s="1" t="s">
        <v>9</v>
      </c>
      <c r="B47">
        <v>1920</v>
      </c>
      <c r="C47">
        <v>334162</v>
      </c>
      <c r="D47" s="1" t="s">
        <v>7</v>
      </c>
      <c r="E47" s="1" t="s">
        <v>10</v>
      </c>
    </row>
    <row r="48" spans="1:5" x14ac:dyDescent="0.5">
      <c r="A48" s="1" t="s">
        <v>9</v>
      </c>
      <c r="B48">
        <v>1910</v>
      </c>
      <c r="C48">
        <v>204354</v>
      </c>
      <c r="D48" s="1" t="s">
        <v>7</v>
      </c>
      <c r="E48" s="1" t="s">
        <v>10</v>
      </c>
    </row>
    <row r="49" spans="1:14" x14ac:dyDescent="0.5">
      <c r="A49" s="1" t="s">
        <v>9</v>
      </c>
      <c r="B49">
        <v>1900</v>
      </c>
      <c r="C49">
        <v>122931</v>
      </c>
      <c r="D49" s="1" t="s">
        <v>7</v>
      </c>
      <c r="E49" s="1" t="s">
        <v>10</v>
      </c>
    </row>
    <row r="50" spans="1:14" x14ac:dyDescent="0.5">
      <c r="A50" s="1" t="s">
        <v>9</v>
      </c>
      <c r="B50">
        <v>1890</v>
      </c>
      <c r="C50">
        <v>88243</v>
      </c>
      <c r="D50" s="1" t="s">
        <v>7</v>
      </c>
      <c r="E50" s="1" t="s">
        <v>10</v>
      </c>
    </row>
    <row r="51" spans="1:14" x14ac:dyDescent="0.5">
      <c r="A51" s="1" t="s">
        <v>9</v>
      </c>
      <c r="B51">
        <v>1880</v>
      </c>
      <c r="C51">
        <v>40440</v>
      </c>
      <c r="D51" s="1" t="s">
        <v>7</v>
      </c>
      <c r="E51" s="1" t="s">
        <v>10</v>
      </c>
    </row>
    <row r="52" spans="1:14" x14ac:dyDescent="0.5">
      <c r="A52" s="1" t="s">
        <v>9</v>
      </c>
      <c r="B52">
        <v>1870</v>
      </c>
      <c r="C52">
        <v>9658</v>
      </c>
      <c r="D52" s="1" t="s">
        <v>7</v>
      </c>
      <c r="E52" s="1" t="s">
        <v>10</v>
      </c>
    </row>
    <row r="53" spans="1:14" x14ac:dyDescent="0.5">
      <c r="A53" s="1" t="s">
        <v>11</v>
      </c>
      <c r="B53">
        <v>2010</v>
      </c>
      <c r="C53">
        <v>2915918</v>
      </c>
      <c r="D53" s="1" t="s">
        <v>4</v>
      </c>
      <c r="E53" s="1" t="s">
        <v>12</v>
      </c>
      <c r="G53" t="str" cm="1">
        <f t="array" ref="G53:N73">_xlfn._xlws.PY(3,0)</f>
        <v/>
      </c>
      <c r="H53" t="str">
        <v>State</v>
      </c>
      <c r="I53" t="str">
        <v>Year</v>
      </c>
      <c r="J53" t="str">
        <v>Population</v>
      </c>
      <c r="K53" t="str">
        <v>Region</v>
      </c>
      <c r="L53" t="str">
        <v>Division</v>
      </c>
      <c r="M53" t="str">
        <v>Previous</v>
      </c>
      <c r="N53" t="str">
        <v>GrowthRate</v>
      </c>
    </row>
    <row r="54" spans="1:14" x14ac:dyDescent="0.5">
      <c r="A54" s="1" t="s">
        <v>11</v>
      </c>
      <c r="B54">
        <v>2000</v>
      </c>
      <c r="C54">
        <v>2673400</v>
      </c>
      <c r="D54" s="1" t="s">
        <v>4</v>
      </c>
      <c r="E54" s="1" t="s">
        <v>12</v>
      </c>
      <c r="G54">
        <v>222</v>
      </c>
      <c r="H54" t="str">
        <v>Hawaii</v>
      </c>
      <c r="I54">
        <v>1940</v>
      </c>
      <c r="J54">
        <v>722770</v>
      </c>
      <c r="K54" t="str">
        <v>West</v>
      </c>
      <c r="L54" t="str">
        <v>Pacific</v>
      </c>
      <c r="M54">
        <v>499794</v>
      </c>
      <c r="N54">
        <v>0.44613580795287655</v>
      </c>
    </row>
    <row r="55" spans="1:14" x14ac:dyDescent="0.5">
      <c r="A55" s="1" t="s">
        <v>11</v>
      </c>
      <c r="B55">
        <v>1990</v>
      </c>
      <c r="C55">
        <v>2350725</v>
      </c>
      <c r="D55" s="1" t="s">
        <v>4</v>
      </c>
      <c r="E55" s="1" t="s">
        <v>12</v>
      </c>
      <c r="G55">
        <v>557</v>
      </c>
      <c r="H55" t="str">
        <v>Nevada</v>
      </c>
      <c r="I55">
        <v>1880</v>
      </c>
      <c r="J55">
        <v>62266</v>
      </c>
      <c r="K55" t="str">
        <v>West</v>
      </c>
      <c r="L55" t="str">
        <v>Mountain</v>
      </c>
      <c r="M55">
        <v>47355</v>
      </c>
      <c r="N55">
        <v>0.31487699292577331</v>
      </c>
    </row>
    <row r="56" spans="1:14" x14ac:dyDescent="0.5">
      <c r="A56" s="1" t="s">
        <v>11</v>
      </c>
      <c r="B56">
        <v>1980</v>
      </c>
      <c r="C56">
        <v>2286357</v>
      </c>
      <c r="D56" s="1" t="s">
        <v>4</v>
      </c>
      <c r="E56" s="1" t="s">
        <v>12</v>
      </c>
      <c r="G56">
        <v>155</v>
      </c>
      <c r="H56" t="str">
        <v>Dist. of Columbia</v>
      </c>
      <c r="I56">
        <v>1970</v>
      </c>
      <c r="J56">
        <v>756668</v>
      </c>
      <c r="K56" t="str">
        <v>South</v>
      </c>
      <c r="L56" t="str">
        <v>South Atlantic</v>
      </c>
      <c r="M56">
        <v>638432</v>
      </c>
      <c r="N56">
        <v>0.18519748383539669</v>
      </c>
    </row>
    <row r="57" spans="1:14" x14ac:dyDescent="0.5">
      <c r="A57" s="1" t="s">
        <v>11</v>
      </c>
      <c r="B57">
        <v>1970</v>
      </c>
      <c r="C57">
        <v>1923322</v>
      </c>
      <c r="D57" s="1" t="s">
        <v>4</v>
      </c>
      <c r="E57" s="1" t="s">
        <v>12</v>
      </c>
      <c r="G57">
        <v>32</v>
      </c>
      <c r="H57" t="str">
        <v>Alaska</v>
      </c>
      <c r="I57">
        <v>1910</v>
      </c>
      <c r="J57">
        <v>64356</v>
      </c>
      <c r="K57" t="str">
        <v>West</v>
      </c>
      <c r="L57" t="str">
        <v>Pacific</v>
      </c>
      <c r="M57">
        <v>55036</v>
      </c>
      <c r="N57">
        <v>0.16934370230394657</v>
      </c>
    </row>
    <row r="58" spans="1:14" x14ac:dyDescent="0.5">
      <c r="A58" s="1" t="s">
        <v>11</v>
      </c>
      <c r="B58">
        <v>1960</v>
      </c>
      <c r="C58">
        <v>1786272</v>
      </c>
      <c r="D58" s="1" t="s">
        <v>4</v>
      </c>
      <c r="E58" s="1" t="s">
        <v>12</v>
      </c>
      <c r="G58">
        <v>556</v>
      </c>
      <c r="H58" t="str">
        <v>Nevada</v>
      </c>
      <c r="I58">
        <v>1890</v>
      </c>
      <c r="J58">
        <v>47355</v>
      </c>
      <c r="K58" t="str">
        <v>West</v>
      </c>
      <c r="L58" t="str">
        <v>Mountain</v>
      </c>
      <c r="M58">
        <v>42335</v>
      </c>
      <c r="N58">
        <v>0.11857800873981339</v>
      </c>
    </row>
    <row r="59" spans="1:14" x14ac:dyDescent="0.5">
      <c r="A59" s="1" t="s">
        <v>11</v>
      </c>
      <c r="B59">
        <v>1950</v>
      </c>
      <c r="C59">
        <v>1909511</v>
      </c>
      <c r="D59" s="1" t="s">
        <v>4</v>
      </c>
      <c r="E59" s="1" t="s">
        <v>12</v>
      </c>
      <c r="G59">
        <v>943</v>
      </c>
      <c r="H59" t="str">
        <v>West Virginia</v>
      </c>
      <c r="I59">
        <v>1980</v>
      </c>
      <c r="J59">
        <v>1950186</v>
      </c>
      <c r="K59" t="str">
        <v>South</v>
      </c>
      <c r="L59" t="str">
        <v>South Atlantic</v>
      </c>
      <c r="M59">
        <v>1793477</v>
      </c>
      <c r="N59">
        <v>8.7377200822759349E-2</v>
      </c>
    </row>
    <row r="60" spans="1:14" x14ac:dyDescent="0.5">
      <c r="A60" s="1" t="s">
        <v>11</v>
      </c>
      <c r="B60">
        <v>1940</v>
      </c>
      <c r="C60">
        <v>1949387</v>
      </c>
      <c r="D60" s="1" t="s">
        <v>4</v>
      </c>
      <c r="E60" s="1" t="s">
        <v>12</v>
      </c>
      <c r="G60">
        <v>946</v>
      </c>
      <c r="H60" t="str">
        <v>West Virginia</v>
      </c>
      <c r="I60">
        <v>1950</v>
      </c>
      <c r="J60">
        <v>2005552</v>
      </c>
      <c r="K60" t="str">
        <v>South</v>
      </c>
      <c r="L60" t="str">
        <v>South Atlantic</v>
      </c>
      <c r="M60">
        <v>1860421</v>
      </c>
      <c r="N60">
        <v>7.8009762306488595E-2</v>
      </c>
    </row>
    <row r="61" spans="1:14" x14ac:dyDescent="0.5">
      <c r="A61" s="1" t="s">
        <v>11</v>
      </c>
      <c r="B61">
        <v>1930</v>
      </c>
      <c r="C61">
        <v>1854482</v>
      </c>
      <c r="D61" s="1" t="s">
        <v>4</v>
      </c>
      <c r="E61" s="1" t="s">
        <v>12</v>
      </c>
      <c r="G61">
        <v>812</v>
      </c>
      <c r="H61" t="str">
        <v>South Dakota</v>
      </c>
      <c r="I61">
        <v>1930</v>
      </c>
      <c r="J61">
        <v>692849</v>
      </c>
      <c r="K61" t="str">
        <v>Midwest</v>
      </c>
      <c r="L61" t="str">
        <v>West North Central</v>
      </c>
      <c r="M61">
        <v>642961</v>
      </c>
      <c r="N61">
        <v>7.7591020295165736E-2</v>
      </c>
    </row>
    <row r="62" spans="1:14" x14ac:dyDescent="0.5">
      <c r="A62" s="1" t="s">
        <v>11</v>
      </c>
      <c r="B62">
        <v>1920</v>
      </c>
      <c r="C62">
        <v>1752204</v>
      </c>
      <c r="D62" s="1" t="s">
        <v>4</v>
      </c>
      <c r="E62" s="1" t="s">
        <v>12</v>
      </c>
      <c r="G62">
        <v>57</v>
      </c>
      <c r="H62" t="str">
        <v>Arkansas</v>
      </c>
      <c r="I62">
        <v>1950</v>
      </c>
      <c r="J62">
        <v>1909511</v>
      </c>
      <c r="K62" t="str">
        <v>South</v>
      </c>
      <c r="L62" t="str">
        <v>West South Central</v>
      </c>
      <c r="M62">
        <v>1786272</v>
      </c>
      <c r="N62">
        <v>6.8992292327260341E-2</v>
      </c>
    </row>
    <row r="63" spans="1:14" x14ac:dyDescent="0.5">
      <c r="A63" s="1" t="s">
        <v>11</v>
      </c>
      <c r="B63">
        <v>1910</v>
      </c>
      <c r="C63">
        <v>1574449</v>
      </c>
      <c r="D63" s="1" t="s">
        <v>4</v>
      </c>
      <c r="E63" s="1" t="s">
        <v>12</v>
      </c>
      <c r="G63">
        <v>945</v>
      </c>
      <c r="H63" t="str">
        <v>West Virginia</v>
      </c>
      <c r="I63">
        <v>1960</v>
      </c>
      <c r="J63">
        <v>1860421</v>
      </c>
      <c r="K63" t="str">
        <v>South</v>
      </c>
      <c r="L63" t="str">
        <v>South Atlantic</v>
      </c>
      <c r="M63">
        <v>1744237</v>
      </c>
      <c r="N63">
        <v>6.661021409361223E-2</v>
      </c>
    </row>
    <row r="64" spans="1:14" x14ac:dyDescent="0.5">
      <c r="A64" s="1" t="s">
        <v>11</v>
      </c>
      <c r="B64">
        <v>1900</v>
      </c>
      <c r="C64">
        <v>1311564</v>
      </c>
      <c r="D64" s="1" t="s">
        <v>4</v>
      </c>
      <c r="E64" s="1" t="s">
        <v>12</v>
      </c>
      <c r="G64">
        <v>153</v>
      </c>
      <c r="H64" t="str">
        <v>Dist. of Columbia</v>
      </c>
      <c r="I64">
        <v>1990</v>
      </c>
      <c r="J64">
        <v>606900</v>
      </c>
      <c r="K64" t="str">
        <v>South</v>
      </c>
      <c r="L64" t="str">
        <v>South Atlantic</v>
      </c>
      <c r="M64">
        <v>572059</v>
      </c>
      <c r="N64">
        <v>6.0904557047437358E-2</v>
      </c>
    </row>
    <row r="65" spans="1:14" x14ac:dyDescent="0.5">
      <c r="A65" s="1" t="s">
        <v>11</v>
      </c>
      <c r="B65">
        <v>1890</v>
      </c>
      <c r="C65">
        <v>1128211</v>
      </c>
      <c r="D65" s="1" t="s">
        <v>4</v>
      </c>
      <c r="E65" s="1" t="s">
        <v>12</v>
      </c>
      <c r="G65">
        <v>676</v>
      </c>
      <c r="H65" t="str">
        <v>North Dakota</v>
      </c>
      <c r="I65">
        <v>1930</v>
      </c>
      <c r="J65">
        <v>680845</v>
      </c>
      <c r="K65" t="str">
        <v>Midwest</v>
      </c>
      <c r="L65" t="str">
        <v>West North Central</v>
      </c>
      <c r="M65">
        <v>641935</v>
      </c>
      <c r="N65">
        <v>6.0613613527849441E-2</v>
      </c>
    </row>
    <row r="66" spans="1:14" x14ac:dyDescent="0.5">
      <c r="A66" s="1" t="s">
        <v>11</v>
      </c>
      <c r="B66">
        <v>1880</v>
      </c>
      <c r="C66">
        <v>802525</v>
      </c>
      <c r="D66" s="1" t="s">
        <v>4</v>
      </c>
      <c r="E66" s="1" t="s">
        <v>12</v>
      </c>
      <c r="G66">
        <v>554</v>
      </c>
      <c r="H66" t="str">
        <v>Nevada</v>
      </c>
      <c r="I66">
        <v>1910</v>
      </c>
      <c r="J66">
        <v>81875</v>
      </c>
      <c r="K66" t="str">
        <v>West</v>
      </c>
      <c r="L66" t="str">
        <v>Mountain</v>
      </c>
      <c r="M66">
        <v>77407</v>
      </c>
      <c r="N66">
        <v>5.7720877956773942E-2</v>
      </c>
    </row>
    <row r="67" spans="1:14" x14ac:dyDescent="0.5">
      <c r="A67" s="1" t="s">
        <v>11</v>
      </c>
      <c r="B67">
        <v>1870</v>
      </c>
      <c r="C67">
        <v>484471</v>
      </c>
      <c r="D67" s="1" t="s">
        <v>4</v>
      </c>
      <c r="E67" s="1" t="s">
        <v>12</v>
      </c>
      <c r="G67">
        <v>154</v>
      </c>
      <c r="H67" t="str">
        <v>Dist. of Columbia</v>
      </c>
      <c r="I67">
        <v>1980</v>
      </c>
      <c r="J67">
        <v>638432</v>
      </c>
      <c r="K67" t="str">
        <v>South</v>
      </c>
      <c r="L67" t="str">
        <v>South Atlantic</v>
      </c>
      <c r="M67">
        <v>606900</v>
      </c>
      <c r="N67">
        <v>5.195584115999341E-2</v>
      </c>
    </row>
    <row r="68" spans="1:14" x14ac:dyDescent="0.5">
      <c r="A68" s="1" t="s">
        <v>11</v>
      </c>
      <c r="B68">
        <v>1860</v>
      </c>
      <c r="C68">
        <v>435450</v>
      </c>
      <c r="D68" s="1" t="s">
        <v>4</v>
      </c>
      <c r="E68" s="1" t="s">
        <v>12</v>
      </c>
      <c r="G68">
        <v>157</v>
      </c>
      <c r="H68" t="str">
        <v>Dist. of Columbia</v>
      </c>
      <c r="I68">
        <v>1950</v>
      </c>
      <c r="J68">
        <v>802178</v>
      </c>
      <c r="K68" t="str">
        <v>South</v>
      </c>
      <c r="L68" t="str">
        <v>South Atlantic</v>
      </c>
      <c r="M68">
        <v>763956</v>
      </c>
      <c r="N68">
        <v>5.0031677217012405E-2</v>
      </c>
    </row>
    <row r="69" spans="1:14" x14ac:dyDescent="0.5">
      <c r="A69" s="1" t="s">
        <v>11</v>
      </c>
      <c r="B69">
        <v>1850</v>
      </c>
      <c r="C69">
        <v>209897</v>
      </c>
      <c r="D69" s="1" t="s">
        <v>4</v>
      </c>
      <c r="E69" s="1" t="s">
        <v>12</v>
      </c>
      <c r="G69">
        <v>288</v>
      </c>
      <c r="H69" t="str">
        <v>Iowa</v>
      </c>
      <c r="I69">
        <v>1980</v>
      </c>
      <c r="J69">
        <v>2913808</v>
      </c>
      <c r="K69" t="str">
        <v>Midwest</v>
      </c>
      <c r="L69" t="str">
        <v>West North Central</v>
      </c>
      <c r="M69">
        <v>2776831</v>
      </c>
      <c r="N69">
        <v>4.9328533137234398E-2</v>
      </c>
    </row>
    <row r="70" spans="1:14" x14ac:dyDescent="0.5">
      <c r="A70" s="1" t="s">
        <v>11</v>
      </c>
      <c r="B70">
        <v>1840</v>
      </c>
      <c r="C70">
        <v>97574</v>
      </c>
      <c r="D70" s="1" t="s">
        <v>4</v>
      </c>
      <c r="E70" s="1" t="s">
        <v>12</v>
      </c>
      <c r="G70">
        <v>536</v>
      </c>
      <c r="H70" t="str">
        <v>Nebraska</v>
      </c>
      <c r="I70">
        <v>1930</v>
      </c>
      <c r="J70">
        <v>1377963</v>
      </c>
      <c r="K70" t="str">
        <v>Midwest</v>
      </c>
      <c r="L70" t="str">
        <v>West North Central</v>
      </c>
      <c r="M70">
        <v>1315834</v>
      </c>
      <c r="N70">
        <v>4.7216442195596064E-2</v>
      </c>
    </row>
    <row r="71" spans="1:14" x14ac:dyDescent="0.5">
      <c r="A71" s="1" t="s">
        <v>11</v>
      </c>
      <c r="B71">
        <v>1830</v>
      </c>
      <c r="C71">
        <v>30388</v>
      </c>
      <c r="D71" s="1" t="s">
        <v>4</v>
      </c>
      <c r="E71" s="1" t="s">
        <v>12</v>
      </c>
      <c r="G71">
        <v>712</v>
      </c>
      <c r="H71" t="str">
        <v>Oklahoma</v>
      </c>
      <c r="I71">
        <v>1940</v>
      </c>
      <c r="J71">
        <v>2336434</v>
      </c>
      <c r="K71" t="str">
        <v>South</v>
      </c>
      <c r="L71" t="str">
        <v>West South Central</v>
      </c>
      <c r="M71">
        <v>2233351</v>
      </c>
      <c r="N71">
        <v>4.6156202047954009E-2</v>
      </c>
    </row>
    <row r="72" spans="1:14" x14ac:dyDescent="0.5">
      <c r="A72" s="1" t="s">
        <v>11</v>
      </c>
      <c r="B72">
        <v>1820</v>
      </c>
      <c r="C72">
        <v>14273</v>
      </c>
      <c r="D72" s="1" t="s">
        <v>4</v>
      </c>
      <c r="E72" s="1" t="s">
        <v>12</v>
      </c>
      <c r="G72">
        <v>311</v>
      </c>
      <c r="H72" t="str">
        <v>Kansas</v>
      </c>
      <c r="I72">
        <v>1930</v>
      </c>
      <c r="J72">
        <v>1880999</v>
      </c>
      <c r="K72" t="str">
        <v>Midwest</v>
      </c>
      <c r="L72" t="str">
        <v>West North Central</v>
      </c>
      <c r="M72">
        <v>1801028</v>
      </c>
      <c r="N72">
        <v>4.4402974301343434E-2</v>
      </c>
    </row>
    <row r="73" spans="1:14" x14ac:dyDescent="0.5">
      <c r="A73" s="1" t="s">
        <v>11</v>
      </c>
      <c r="B73">
        <v>1810</v>
      </c>
      <c r="C73">
        <v>1062</v>
      </c>
      <c r="D73" s="1" t="s">
        <v>4</v>
      </c>
      <c r="E73" s="1" t="s">
        <v>12</v>
      </c>
      <c r="G73">
        <v>35</v>
      </c>
      <c r="H73" t="str">
        <v>Alaska</v>
      </c>
      <c r="I73">
        <v>1880</v>
      </c>
      <c r="J73">
        <v>33426</v>
      </c>
      <c r="K73" t="str">
        <v>West</v>
      </c>
      <c r="L73" t="str">
        <v>Pacific</v>
      </c>
      <c r="M73">
        <v>32052</v>
      </c>
      <c r="N73">
        <v>4.2867839760389437E-2</v>
      </c>
    </row>
    <row r="74" spans="1:14" x14ac:dyDescent="0.5">
      <c r="A74" s="1" t="s">
        <v>13</v>
      </c>
      <c r="B74">
        <v>2010</v>
      </c>
      <c r="C74">
        <v>37253956</v>
      </c>
      <c r="D74" s="1" t="s">
        <v>7</v>
      </c>
      <c r="E74" s="1" t="s">
        <v>8</v>
      </c>
    </row>
    <row r="75" spans="1:14" x14ac:dyDescent="0.5">
      <c r="A75" s="1" t="s">
        <v>13</v>
      </c>
      <c r="B75">
        <v>2000</v>
      </c>
      <c r="C75">
        <v>33871648</v>
      </c>
      <c r="D75" s="1" t="s">
        <v>7</v>
      </c>
      <c r="E75" s="1" t="s">
        <v>8</v>
      </c>
    </row>
    <row r="76" spans="1:14" x14ac:dyDescent="0.5">
      <c r="A76" s="1" t="s">
        <v>13</v>
      </c>
      <c r="B76">
        <v>1990</v>
      </c>
      <c r="C76">
        <v>29760021</v>
      </c>
      <c r="D76" s="1" t="s">
        <v>7</v>
      </c>
      <c r="E76" s="1" t="s">
        <v>8</v>
      </c>
      <c r="G76" t="e" cm="1" vm="4">
        <f t="array" ref="G76">_xlfn._xlws.PY(4,0)</f>
        <v>#VALUE!</v>
      </c>
    </row>
    <row r="77" spans="1:14" x14ac:dyDescent="0.5">
      <c r="A77" s="1" t="s">
        <v>13</v>
      </c>
      <c r="B77">
        <v>1980</v>
      </c>
      <c r="C77">
        <v>23667764</v>
      </c>
      <c r="D77" s="1" t="s">
        <v>7</v>
      </c>
      <c r="E77" s="1" t="s">
        <v>8</v>
      </c>
    </row>
    <row r="78" spans="1:14" x14ac:dyDescent="0.5">
      <c r="A78" s="1" t="s">
        <v>13</v>
      </c>
      <c r="B78">
        <v>1970</v>
      </c>
      <c r="C78">
        <v>19971069</v>
      </c>
      <c r="D78" s="1" t="s">
        <v>7</v>
      </c>
      <c r="E78" s="1" t="s">
        <v>8</v>
      </c>
    </row>
    <row r="79" spans="1:14" x14ac:dyDescent="0.5">
      <c r="A79" s="1" t="s">
        <v>13</v>
      </c>
      <c r="B79">
        <v>1960</v>
      </c>
      <c r="C79">
        <v>15717204</v>
      </c>
      <c r="D79" s="1" t="s">
        <v>7</v>
      </c>
      <c r="E79" s="1" t="s">
        <v>8</v>
      </c>
    </row>
    <row r="80" spans="1:14" x14ac:dyDescent="0.5">
      <c r="A80" s="1" t="s">
        <v>13</v>
      </c>
      <c r="B80">
        <v>1950</v>
      </c>
      <c r="C80">
        <v>10586223</v>
      </c>
      <c r="D80" s="1" t="s">
        <v>7</v>
      </c>
      <c r="E80" s="1" t="s">
        <v>8</v>
      </c>
    </row>
    <row r="81" spans="1:5" x14ac:dyDescent="0.5">
      <c r="A81" s="1" t="s">
        <v>13</v>
      </c>
      <c r="B81">
        <v>1940</v>
      </c>
      <c r="C81">
        <v>6907387</v>
      </c>
      <c r="D81" s="1" t="s">
        <v>7</v>
      </c>
      <c r="E81" s="1" t="s">
        <v>8</v>
      </c>
    </row>
    <row r="82" spans="1:5" x14ac:dyDescent="0.5">
      <c r="A82" s="1" t="s">
        <v>13</v>
      </c>
      <c r="B82">
        <v>1930</v>
      </c>
      <c r="C82">
        <v>5677251</v>
      </c>
      <c r="D82" s="1" t="s">
        <v>7</v>
      </c>
      <c r="E82" s="1" t="s">
        <v>8</v>
      </c>
    </row>
    <row r="83" spans="1:5" x14ac:dyDescent="0.5">
      <c r="A83" s="1" t="s">
        <v>13</v>
      </c>
      <c r="B83">
        <v>1920</v>
      </c>
      <c r="C83">
        <v>3426861</v>
      </c>
      <c r="D83" s="1" t="s">
        <v>7</v>
      </c>
      <c r="E83" s="1" t="s">
        <v>8</v>
      </c>
    </row>
    <row r="84" spans="1:5" x14ac:dyDescent="0.5">
      <c r="A84" s="1" t="s">
        <v>13</v>
      </c>
      <c r="B84">
        <v>1910</v>
      </c>
      <c r="C84">
        <v>2377549</v>
      </c>
      <c r="D84" s="1" t="s">
        <v>7</v>
      </c>
      <c r="E84" s="1" t="s">
        <v>8</v>
      </c>
    </row>
    <row r="85" spans="1:5" x14ac:dyDescent="0.5">
      <c r="A85" s="1" t="s">
        <v>13</v>
      </c>
      <c r="B85">
        <v>1900</v>
      </c>
      <c r="C85">
        <v>1485053</v>
      </c>
      <c r="D85" s="1" t="s">
        <v>7</v>
      </c>
      <c r="E85" s="1" t="s">
        <v>8</v>
      </c>
    </row>
    <row r="86" spans="1:5" x14ac:dyDescent="0.5">
      <c r="A86" s="1" t="s">
        <v>13</v>
      </c>
      <c r="B86">
        <v>1890</v>
      </c>
      <c r="C86">
        <v>1213398</v>
      </c>
      <c r="D86" s="1" t="s">
        <v>7</v>
      </c>
      <c r="E86" s="1" t="s">
        <v>8</v>
      </c>
    </row>
    <row r="87" spans="1:5" x14ac:dyDescent="0.5">
      <c r="A87" s="1" t="s">
        <v>13</v>
      </c>
      <c r="B87">
        <v>1880</v>
      </c>
      <c r="C87">
        <v>864694</v>
      </c>
      <c r="D87" s="1" t="s">
        <v>7</v>
      </c>
      <c r="E87" s="1" t="s">
        <v>8</v>
      </c>
    </row>
    <row r="88" spans="1:5" x14ac:dyDescent="0.5">
      <c r="A88" s="1" t="s">
        <v>13</v>
      </c>
      <c r="B88">
        <v>1870</v>
      </c>
      <c r="C88">
        <v>560247</v>
      </c>
      <c r="D88" s="1" t="s">
        <v>7</v>
      </c>
      <c r="E88" s="1" t="s">
        <v>8</v>
      </c>
    </row>
    <row r="89" spans="1:5" x14ac:dyDescent="0.5">
      <c r="A89" s="1" t="s">
        <v>13</v>
      </c>
      <c r="B89">
        <v>1860</v>
      </c>
      <c r="C89">
        <v>379994</v>
      </c>
      <c r="D89" s="1" t="s">
        <v>7</v>
      </c>
      <c r="E89" s="1" t="s">
        <v>8</v>
      </c>
    </row>
    <row r="90" spans="1:5" x14ac:dyDescent="0.5">
      <c r="A90" s="1" t="s">
        <v>13</v>
      </c>
      <c r="B90">
        <v>1850</v>
      </c>
      <c r="C90">
        <v>92597</v>
      </c>
      <c r="D90" s="1" t="s">
        <v>7</v>
      </c>
      <c r="E90" s="1" t="s">
        <v>8</v>
      </c>
    </row>
    <row r="91" spans="1:5" x14ac:dyDescent="0.5">
      <c r="A91" s="1" t="s">
        <v>14</v>
      </c>
      <c r="B91">
        <v>2010</v>
      </c>
      <c r="C91">
        <v>5029196</v>
      </c>
      <c r="D91" s="1" t="s">
        <v>7</v>
      </c>
      <c r="E91" s="1" t="s">
        <v>10</v>
      </c>
    </row>
    <row r="92" spans="1:5" x14ac:dyDescent="0.5">
      <c r="A92" s="1" t="s">
        <v>14</v>
      </c>
      <c r="B92">
        <v>2000</v>
      </c>
      <c r="C92">
        <v>4301261</v>
      </c>
      <c r="D92" s="1" t="s">
        <v>7</v>
      </c>
      <c r="E92" s="1" t="s">
        <v>10</v>
      </c>
    </row>
    <row r="93" spans="1:5" x14ac:dyDescent="0.5">
      <c r="A93" s="1" t="s">
        <v>14</v>
      </c>
      <c r="B93">
        <v>1990</v>
      </c>
      <c r="C93">
        <v>3294394</v>
      </c>
      <c r="D93" s="1" t="s">
        <v>7</v>
      </c>
      <c r="E93" s="1" t="s">
        <v>10</v>
      </c>
    </row>
    <row r="94" spans="1:5" x14ac:dyDescent="0.5">
      <c r="A94" s="1" t="s">
        <v>14</v>
      </c>
      <c r="B94">
        <v>1980</v>
      </c>
      <c r="C94">
        <v>2889735</v>
      </c>
      <c r="D94" s="1" t="s">
        <v>7</v>
      </c>
      <c r="E94" s="1" t="s">
        <v>10</v>
      </c>
    </row>
    <row r="95" spans="1:5" x14ac:dyDescent="0.5">
      <c r="A95" s="1" t="s">
        <v>14</v>
      </c>
      <c r="B95">
        <v>1970</v>
      </c>
      <c r="C95">
        <v>2209596</v>
      </c>
      <c r="D95" s="1" t="s">
        <v>7</v>
      </c>
      <c r="E95" s="1" t="s">
        <v>10</v>
      </c>
    </row>
    <row r="96" spans="1:5" x14ac:dyDescent="0.5">
      <c r="A96" s="1" t="s">
        <v>14</v>
      </c>
      <c r="B96">
        <v>1960</v>
      </c>
      <c r="C96">
        <v>1753947</v>
      </c>
      <c r="D96" s="1" t="s">
        <v>7</v>
      </c>
      <c r="E96" s="1" t="s">
        <v>10</v>
      </c>
    </row>
    <row r="97" spans="1:5" x14ac:dyDescent="0.5">
      <c r="A97" s="1" t="s">
        <v>14</v>
      </c>
      <c r="B97">
        <v>1950</v>
      </c>
      <c r="C97">
        <v>1325089</v>
      </c>
      <c r="D97" s="1" t="s">
        <v>7</v>
      </c>
      <c r="E97" s="1" t="s">
        <v>10</v>
      </c>
    </row>
    <row r="98" spans="1:5" x14ac:dyDescent="0.5">
      <c r="A98" s="1" t="s">
        <v>14</v>
      </c>
      <c r="B98">
        <v>1940</v>
      </c>
      <c r="C98">
        <v>1123296</v>
      </c>
      <c r="D98" s="1" t="s">
        <v>7</v>
      </c>
      <c r="E98" s="1" t="s">
        <v>10</v>
      </c>
    </row>
    <row r="99" spans="1:5" x14ac:dyDescent="0.5">
      <c r="A99" s="1" t="s">
        <v>14</v>
      </c>
      <c r="B99">
        <v>1930</v>
      </c>
      <c r="C99">
        <v>1035791</v>
      </c>
      <c r="D99" s="1" t="s">
        <v>7</v>
      </c>
      <c r="E99" s="1" t="s">
        <v>10</v>
      </c>
    </row>
    <row r="100" spans="1:5" x14ac:dyDescent="0.5">
      <c r="A100" s="1" t="s">
        <v>14</v>
      </c>
      <c r="B100">
        <v>1920</v>
      </c>
      <c r="C100">
        <v>939629</v>
      </c>
      <c r="D100" s="1" t="s">
        <v>7</v>
      </c>
      <c r="E100" s="1" t="s">
        <v>10</v>
      </c>
    </row>
    <row r="101" spans="1:5" x14ac:dyDescent="0.5">
      <c r="A101" s="1" t="s">
        <v>14</v>
      </c>
      <c r="B101">
        <v>1910</v>
      </c>
      <c r="C101">
        <v>799024</v>
      </c>
      <c r="D101" s="1" t="s">
        <v>7</v>
      </c>
      <c r="E101" s="1" t="s">
        <v>10</v>
      </c>
    </row>
    <row r="102" spans="1:5" x14ac:dyDescent="0.5">
      <c r="A102" s="1" t="s">
        <v>14</v>
      </c>
      <c r="B102">
        <v>1900</v>
      </c>
      <c r="C102">
        <v>539700</v>
      </c>
      <c r="D102" s="1" t="s">
        <v>7</v>
      </c>
      <c r="E102" s="1" t="s">
        <v>10</v>
      </c>
    </row>
    <row r="103" spans="1:5" x14ac:dyDescent="0.5">
      <c r="A103" s="1" t="s">
        <v>14</v>
      </c>
      <c r="B103">
        <v>1890</v>
      </c>
      <c r="C103">
        <v>413249</v>
      </c>
      <c r="D103" s="1" t="s">
        <v>7</v>
      </c>
      <c r="E103" s="1" t="s">
        <v>10</v>
      </c>
    </row>
    <row r="104" spans="1:5" x14ac:dyDescent="0.5">
      <c r="A104" s="1" t="s">
        <v>14</v>
      </c>
      <c r="B104">
        <v>1880</v>
      </c>
      <c r="C104">
        <v>194327</v>
      </c>
      <c r="D104" s="1" t="s">
        <v>7</v>
      </c>
      <c r="E104" s="1" t="s">
        <v>10</v>
      </c>
    </row>
    <row r="105" spans="1:5" x14ac:dyDescent="0.5">
      <c r="A105" s="1" t="s">
        <v>14</v>
      </c>
      <c r="B105">
        <v>1870</v>
      </c>
      <c r="C105">
        <v>39864</v>
      </c>
      <c r="D105" s="1" t="s">
        <v>7</v>
      </c>
      <c r="E105" s="1" t="s">
        <v>10</v>
      </c>
    </row>
    <row r="106" spans="1:5" x14ac:dyDescent="0.5">
      <c r="A106" s="1" t="s">
        <v>14</v>
      </c>
      <c r="B106">
        <v>1860</v>
      </c>
      <c r="C106">
        <v>34277</v>
      </c>
      <c r="D106" s="1" t="s">
        <v>7</v>
      </c>
      <c r="E106" s="1" t="s">
        <v>10</v>
      </c>
    </row>
    <row r="107" spans="1:5" x14ac:dyDescent="0.5">
      <c r="A107" s="1" t="s">
        <v>15</v>
      </c>
      <c r="B107">
        <v>2010</v>
      </c>
      <c r="C107">
        <v>3574097</v>
      </c>
      <c r="D107" s="1" t="s">
        <v>16</v>
      </c>
      <c r="E107" s="1" t="s">
        <v>17</v>
      </c>
    </row>
    <row r="108" spans="1:5" x14ac:dyDescent="0.5">
      <c r="A108" s="1" t="s">
        <v>15</v>
      </c>
      <c r="B108">
        <v>2000</v>
      </c>
      <c r="C108">
        <v>3405565</v>
      </c>
      <c r="D108" s="1" t="s">
        <v>16</v>
      </c>
      <c r="E108" s="1" t="s">
        <v>17</v>
      </c>
    </row>
    <row r="109" spans="1:5" x14ac:dyDescent="0.5">
      <c r="A109" s="1" t="s">
        <v>15</v>
      </c>
      <c r="B109">
        <v>1990</v>
      </c>
      <c r="C109">
        <v>3287116</v>
      </c>
      <c r="D109" s="1" t="s">
        <v>16</v>
      </c>
      <c r="E109" s="1" t="s">
        <v>17</v>
      </c>
    </row>
    <row r="110" spans="1:5" x14ac:dyDescent="0.5">
      <c r="A110" s="1" t="s">
        <v>15</v>
      </c>
      <c r="B110">
        <v>1980</v>
      </c>
      <c r="C110">
        <v>3107564</v>
      </c>
      <c r="D110" s="1" t="s">
        <v>16</v>
      </c>
      <c r="E110" s="1" t="s">
        <v>17</v>
      </c>
    </row>
    <row r="111" spans="1:5" x14ac:dyDescent="0.5">
      <c r="A111" s="1" t="s">
        <v>15</v>
      </c>
      <c r="B111">
        <v>1970</v>
      </c>
      <c r="C111">
        <v>3032217</v>
      </c>
      <c r="D111" s="1" t="s">
        <v>16</v>
      </c>
      <c r="E111" s="1" t="s">
        <v>17</v>
      </c>
    </row>
    <row r="112" spans="1:5" x14ac:dyDescent="0.5">
      <c r="A112" s="1" t="s">
        <v>15</v>
      </c>
      <c r="B112">
        <v>1960</v>
      </c>
      <c r="C112">
        <v>2535234</v>
      </c>
      <c r="D112" s="1" t="s">
        <v>16</v>
      </c>
      <c r="E112" s="1" t="s">
        <v>17</v>
      </c>
    </row>
    <row r="113" spans="1:8" x14ac:dyDescent="0.5">
      <c r="A113" s="1" t="s">
        <v>15</v>
      </c>
      <c r="B113">
        <v>1950</v>
      </c>
      <c r="C113">
        <v>2007280</v>
      </c>
      <c r="D113" s="1" t="s">
        <v>16</v>
      </c>
      <c r="E113" s="1" t="s">
        <v>17</v>
      </c>
    </row>
    <row r="114" spans="1:8" x14ac:dyDescent="0.5">
      <c r="A114" s="1" t="s">
        <v>15</v>
      </c>
      <c r="B114">
        <v>1940</v>
      </c>
      <c r="C114">
        <v>1709242</v>
      </c>
      <c r="D114" s="1" t="s">
        <v>16</v>
      </c>
      <c r="E114" s="1" t="s">
        <v>17</v>
      </c>
    </row>
    <row r="115" spans="1:8" x14ac:dyDescent="0.5">
      <c r="A115" s="1" t="s">
        <v>15</v>
      </c>
      <c r="B115">
        <v>1930</v>
      </c>
      <c r="C115">
        <v>1606903</v>
      </c>
      <c r="D115" s="1" t="s">
        <v>16</v>
      </c>
      <c r="E115" s="1" t="s">
        <v>17</v>
      </c>
    </row>
    <row r="116" spans="1:8" x14ac:dyDescent="0.5">
      <c r="A116" s="1" t="s">
        <v>15</v>
      </c>
      <c r="B116">
        <v>1920</v>
      </c>
      <c r="C116">
        <v>1380631</v>
      </c>
      <c r="D116" s="1" t="s">
        <v>16</v>
      </c>
      <c r="E116" s="1" t="s">
        <v>17</v>
      </c>
    </row>
    <row r="117" spans="1:8" x14ac:dyDescent="0.5">
      <c r="A117" s="1" t="s">
        <v>15</v>
      </c>
      <c r="B117">
        <v>1910</v>
      </c>
      <c r="C117">
        <v>1114756</v>
      </c>
      <c r="D117" s="1" t="s">
        <v>16</v>
      </c>
      <c r="E117" s="1" t="s">
        <v>17</v>
      </c>
    </row>
    <row r="118" spans="1:8" x14ac:dyDescent="0.5">
      <c r="A118" s="1" t="s">
        <v>15</v>
      </c>
      <c r="B118">
        <v>1900</v>
      </c>
      <c r="C118">
        <v>908420</v>
      </c>
      <c r="D118" s="1" t="s">
        <v>16</v>
      </c>
      <c r="E118" s="1" t="s">
        <v>17</v>
      </c>
    </row>
    <row r="119" spans="1:8" x14ac:dyDescent="0.5">
      <c r="A119" s="1" t="s">
        <v>15</v>
      </c>
      <c r="B119">
        <v>1890</v>
      </c>
      <c r="C119">
        <v>746258</v>
      </c>
      <c r="D119" s="1" t="s">
        <v>16</v>
      </c>
      <c r="E119" s="1" t="s">
        <v>17</v>
      </c>
    </row>
    <row r="120" spans="1:8" x14ac:dyDescent="0.5">
      <c r="A120" s="1" t="s">
        <v>15</v>
      </c>
      <c r="B120">
        <v>1880</v>
      </c>
      <c r="C120">
        <v>622700</v>
      </c>
      <c r="D120" s="1" t="s">
        <v>16</v>
      </c>
      <c r="E120" s="1" t="s">
        <v>17</v>
      </c>
    </row>
    <row r="121" spans="1:8" x14ac:dyDescent="0.5">
      <c r="A121" s="1" t="s">
        <v>15</v>
      </c>
      <c r="B121">
        <v>1870</v>
      </c>
      <c r="C121">
        <v>537454</v>
      </c>
      <c r="D121" s="1" t="s">
        <v>16</v>
      </c>
      <c r="E121" s="1" t="s">
        <v>17</v>
      </c>
    </row>
    <row r="122" spans="1:8" x14ac:dyDescent="0.5">
      <c r="A122" s="1" t="s">
        <v>15</v>
      </c>
      <c r="B122">
        <v>1860</v>
      </c>
      <c r="C122">
        <v>460147</v>
      </c>
      <c r="D122" s="1" t="s">
        <v>16</v>
      </c>
      <c r="E122" s="1" t="s">
        <v>17</v>
      </c>
      <c r="G122" cm="1">
        <f t="array" ref="G122:H124">_xlfn._xlws.PY(5,0)</f>
        <v>22</v>
      </c>
      <c r="H122">
        <v>12083033.480634967</v>
      </c>
    </row>
    <row r="123" spans="1:8" x14ac:dyDescent="0.5">
      <c r="A123" s="1" t="s">
        <v>15</v>
      </c>
      <c r="B123">
        <v>1850</v>
      </c>
      <c r="C123">
        <v>370792</v>
      </c>
      <c r="D123" s="1" t="s">
        <v>16</v>
      </c>
      <c r="E123" s="1" t="s">
        <v>17</v>
      </c>
      <c r="G123">
        <v>23</v>
      </c>
      <c r="H123">
        <v>12627566.707286526</v>
      </c>
    </row>
    <row r="124" spans="1:8" x14ac:dyDescent="0.5">
      <c r="A124" s="1" t="s">
        <v>15</v>
      </c>
      <c r="B124">
        <v>1840</v>
      </c>
      <c r="C124">
        <v>309978</v>
      </c>
      <c r="D124" s="1" t="s">
        <v>16</v>
      </c>
      <c r="E124" s="1" t="s">
        <v>17</v>
      </c>
      <c r="G124">
        <v>24</v>
      </c>
      <c r="H124">
        <v>13172099.933938084</v>
      </c>
    </row>
    <row r="125" spans="1:8" x14ac:dyDescent="0.5">
      <c r="A125" s="1" t="s">
        <v>15</v>
      </c>
      <c r="B125">
        <v>1830</v>
      </c>
      <c r="C125">
        <v>297675</v>
      </c>
      <c r="D125" s="1" t="s">
        <v>16</v>
      </c>
      <c r="E125" s="1" t="s">
        <v>17</v>
      </c>
    </row>
    <row r="126" spans="1:8" x14ac:dyDescent="0.5">
      <c r="A126" s="1" t="s">
        <v>15</v>
      </c>
      <c r="B126">
        <v>1820</v>
      </c>
      <c r="C126">
        <v>275248</v>
      </c>
      <c r="D126" s="1" t="s">
        <v>16</v>
      </c>
      <c r="E126" s="1" t="s">
        <v>17</v>
      </c>
    </row>
    <row r="127" spans="1:8" x14ac:dyDescent="0.5">
      <c r="A127" s="1" t="s">
        <v>15</v>
      </c>
      <c r="B127">
        <v>1810</v>
      </c>
      <c r="C127">
        <v>261942</v>
      </c>
      <c r="D127" s="1" t="s">
        <v>16</v>
      </c>
      <c r="E127" s="1" t="s">
        <v>17</v>
      </c>
      <c r="G127" t="s">
        <v>72</v>
      </c>
      <c r="H127">
        <v>2000</v>
      </c>
    </row>
    <row r="128" spans="1:8" x14ac:dyDescent="0.5">
      <c r="A128" s="1" t="s">
        <v>15</v>
      </c>
      <c r="B128">
        <v>1800</v>
      </c>
      <c r="C128">
        <v>251002</v>
      </c>
      <c r="D128" s="1" t="s">
        <v>16</v>
      </c>
      <c r="E128" s="1" t="s">
        <v>17</v>
      </c>
    </row>
    <row r="129" spans="1:12" x14ac:dyDescent="0.5">
      <c r="A129" s="1" t="s">
        <v>15</v>
      </c>
      <c r="B129">
        <v>1790</v>
      </c>
      <c r="C129">
        <v>237946</v>
      </c>
      <c r="D129" s="1" t="s">
        <v>16</v>
      </c>
      <c r="E129" s="1" t="s">
        <v>17</v>
      </c>
      <c r="G129" t="str" cm="1">
        <f t="array" ref="G129:L139">_xlfn._xlws.PY(6,0,H127)</f>
        <v/>
      </c>
      <c r="H129" t="str">
        <v>State</v>
      </c>
      <c r="I129" t="str">
        <v>Year</v>
      </c>
      <c r="J129" t="str">
        <v>Population</v>
      </c>
      <c r="K129" t="str">
        <v>Region</v>
      </c>
      <c r="L129" t="str">
        <v>Division</v>
      </c>
    </row>
    <row r="130" spans="1:12" x14ac:dyDescent="0.5">
      <c r="A130" s="1" t="s">
        <v>18</v>
      </c>
      <c r="B130">
        <v>2010</v>
      </c>
      <c r="C130">
        <v>897934</v>
      </c>
      <c r="D130" s="1" t="s">
        <v>4</v>
      </c>
      <c r="E130" s="1" t="s">
        <v>19</v>
      </c>
      <c r="G130">
        <v>73</v>
      </c>
      <c r="H130" t="str">
        <v>California</v>
      </c>
      <c r="I130">
        <v>2000</v>
      </c>
      <c r="J130">
        <v>33871648</v>
      </c>
      <c r="K130" t="str">
        <v>West</v>
      </c>
      <c r="L130" t="str">
        <v>Pacific</v>
      </c>
    </row>
    <row r="131" spans="1:12" x14ac:dyDescent="0.5">
      <c r="A131" s="1" t="s">
        <v>18</v>
      </c>
      <c r="B131">
        <v>2000</v>
      </c>
      <c r="C131">
        <v>783600</v>
      </c>
      <c r="D131" s="1" t="s">
        <v>4</v>
      </c>
      <c r="E131" s="1" t="s">
        <v>19</v>
      </c>
      <c r="G131">
        <v>844</v>
      </c>
      <c r="H131" t="str">
        <v>Texas</v>
      </c>
      <c r="I131">
        <v>2000</v>
      </c>
      <c r="J131">
        <v>20851820</v>
      </c>
      <c r="K131" t="str">
        <v>South</v>
      </c>
      <c r="L131" t="str">
        <v>West South Central</v>
      </c>
    </row>
    <row r="132" spans="1:12" x14ac:dyDescent="0.5">
      <c r="A132" s="1" t="s">
        <v>18</v>
      </c>
      <c r="B132">
        <v>1990</v>
      </c>
      <c r="C132">
        <v>666168</v>
      </c>
      <c r="D132" s="1" t="s">
        <v>4</v>
      </c>
      <c r="E132" s="1" t="s">
        <v>19</v>
      </c>
      <c r="G132">
        <v>623</v>
      </c>
      <c r="H132" t="str">
        <v>New York</v>
      </c>
      <c r="I132">
        <v>2000</v>
      </c>
      <c r="J132">
        <v>18976457</v>
      </c>
      <c r="K132" t="str">
        <v>Northeast</v>
      </c>
      <c r="L132" t="str">
        <v>Middle Atlantic</v>
      </c>
    </row>
    <row r="133" spans="1:12" x14ac:dyDescent="0.5">
      <c r="A133" s="1" t="s">
        <v>18</v>
      </c>
      <c r="B133">
        <v>1980</v>
      </c>
      <c r="C133">
        <v>594338</v>
      </c>
      <c r="D133" s="1" t="s">
        <v>4</v>
      </c>
      <c r="E133" s="1" t="s">
        <v>19</v>
      </c>
      <c r="G133">
        <v>174</v>
      </c>
      <c r="H133" t="str">
        <v>Florida</v>
      </c>
      <c r="I133">
        <v>2000</v>
      </c>
      <c r="J133">
        <v>15982378</v>
      </c>
      <c r="K133" t="str">
        <v>South</v>
      </c>
      <c r="L133" t="str">
        <v>South Atlantic</v>
      </c>
    </row>
    <row r="134" spans="1:12" x14ac:dyDescent="0.5">
      <c r="A134" s="1" t="s">
        <v>18</v>
      </c>
      <c r="B134">
        <v>1970</v>
      </c>
      <c r="C134">
        <v>548104</v>
      </c>
      <c r="D134" s="1" t="s">
        <v>4</v>
      </c>
      <c r="E134" s="1" t="s">
        <v>19</v>
      </c>
      <c r="G134">
        <v>243</v>
      </c>
      <c r="H134" t="str">
        <v>Illinois</v>
      </c>
      <c r="I134">
        <v>2000</v>
      </c>
      <c r="J134">
        <v>12419293</v>
      </c>
      <c r="K134" t="str">
        <v>Midwest</v>
      </c>
      <c r="L134" t="str">
        <v>East North Central</v>
      </c>
    </row>
    <row r="135" spans="1:12" x14ac:dyDescent="0.5">
      <c r="A135" s="1" t="s">
        <v>18</v>
      </c>
      <c r="B135">
        <v>1960</v>
      </c>
      <c r="C135">
        <v>446292</v>
      </c>
      <c r="D135" s="1" t="s">
        <v>4</v>
      </c>
      <c r="E135" s="1" t="s">
        <v>19</v>
      </c>
      <c r="G135">
        <v>736</v>
      </c>
      <c r="H135" t="str">
        <v>Pennsylvania</v>
      </c>
      <c r="I135">
        <v>2000</v>
      </c>
      <c r="J135">
        <v>12281054</v>
      </c>
      <c r="K135" t="str">
        <v>Northeast</v>
      </c>
      <c r="L135" t="str">
        <v>Middle Atlantic</v>
      </c>
    </row>
    <row r="136" spans="1:12" x14ac:dyDescent="0.5">
      <c r="A136" s="1" t="s">
        <v>18</v>
      </c>
      <c r="B136">
        <v>1950</v>
      </c>
      <c r="C136">
        <v>318085</v>
      </c>
      <c r="D136" s="1" t="s">
        <v>4</v>
      </c>
      <c r="E136" s="1" t="s">
        <v>19</v>
      </c>
      <c r="G136">
        <v>684</v>
      </c>
      <c r="H136" t="str">
        <v>Ohio</v>
      </c>
      <c r="I136">
        <v>2000</v>
      </c>
      <c r="J136">
        <v>11353140</v>
      </c>
      <c r="K136" t="str">
        <v>Midwest</v>
      </c>
      <c r="L136" t="str">
        <v>East North Central</v>
      </c>
    </row>
    <row r="137" spans="1:12" x14ac:dyDescent="0.5">
      <c r="A137" s="1" t="s">
        <v>18</v>
      </c>
      <c r="B137">
        <v>1940</v>
      </c>
      <c r="C137">
        <v>266505</v>
      </c>
      <c r="D137" s="1" t="s">
        <v>4</v>
      </c>
      <c r="E137" s="1" t="s">
        <v>19</v>
      </c>
      <c r="G137">
        <v>433</v>
      </c>
      <c r="H137" t="str">
        <v>Michigan</v>
      </c>
      <c r="I137">
        <v>2000</v>
      </c>
      <c r="J137">
        <v>9938444</v>
      </c>
      <c r="K137" t="str">
        <v>Midwest</v>
      </c>
      <c r="L137" t="str">
        <v>East North Central</v>
      </c>
    </row>
    <row r="138" spans="1:12" x14ac:dyDescent="0.5">
      <c r="A138" s="1" t="s">
        <v>18</v>
      </c>
      <c r="B138">
        <v>1930</v>
      </c>
      <c r="C138">
        <v>230380</v>
      </c>
      <c r="D138" s="1" t="s">
        <v>4</v>
      </c>
      <c r="E138" s="1" t="s">
        <v>19</v>
      </c>
      <c r="G138">
        <v>584</v>
      </c>
      <c r="H138" t="str">
        <v>New Jersey</v>
      </c>
      <c r="I138">
        <v>2000</v>
      </c>
      <c r="J138">
        <v>8414350</v>
      </c>
      <c r="K138" t="str">
        <v>Northeast</v>
      </c>
      <c r="L138" t="str">
        <v>Middle Atlantic</v>
      </c>
    </row>
    <row r="139" spans="1:12" x14ac:dyDescent="0.5">
      <c r="A139" s="1" t="s">
        <v>18</v>
      </c>
      <c r="B139">
        <v>1920</v>
      </c>
      <c r="C139">
        <v>223003</v>
      </c>
      <c r="D139" s="1" t="s">
        <v>4</v>
      </c>
      <c r="E139" s="1" t="s">
        <v>19</v>
      </c>
      <c r="G139">
        <v>193</v>
      </c>
      <c r="H139" t="str">
        <v>Georgia</v>
      </c>
      <c r="I139">
        <v>2000</v>
      </c>
      <c r="J139">
        <v>8186453</v>
      </c>
      <c r="K139" t="str">
        <v>South</v>
      </c>
      <c r="L139" t="str">
        <v>South Atlantic</v>
      </c>
    </row>
    <row r="140" spans="1:12" x14ac:dyDescent="0.5">
      <c r="A140" s="1" t="s">
        <v>18</v>
      </c>
      <c r="B140">
        <v>1910</v>
      </c>
      <c r="C140">
        <v>202322</v>
      </c>
      <c r="D140" s="1" t="s">
        <v>4</v>
      </c>
      <c r="E140" s="1" t="s">
        <v>19</v>
      </c>
    </row>
    <row r="141" spans="1:12" x14ac:dyDescent="0.5">
      <c r="A141" s="1" t="s">
        <v>18</v>
      </c>
      <c r="B141">
        <v>1900</v>
      </c>
      <c r="C141">
        <v>184735</v>
      </c>
      <c r="D141" s="1" t="s">
        <v>4</v>
      </c>
      <c r="E141" s="1" t="s">
        <v>19</v>
      </c>
    </row>
    <row r="142" spans="1:12" x14ac:dyDescent="0.5">
      <c r="A142" s="1" t="s">
        <v>18</v>
      </c>
      <c r="B142">
        <v>1890</v>
      </c>
      <c r="C142">
        <v>168493</v>
      </c>
      <c r="D142" s="1" t="s">
        <v>4</v>
      </c>
      <c r="E142" s="1" t="s">
        <v>19</v>
      </c>
    </row>
    <row r="143" spans="1:12" x14ac:dyDescent="0.5">
      <c r="A143" s="1" t="s">
        <v>18</v>
      </c>
      <c r="B143">
        <v>1880</v>
      </c>
      <c r="C143">
        <v>146608</v>
      </c>
      <c r="D143" s="1" t="s">
        <v>4</v>
      </c>
      <c r="E143" s="1" t="s">
        <v>19</v>
      </c>
    </row>
    <row r="144" spans="1:12" x14ac:dyDescent="0.5">
      <c r="A144" s="1" t="s">
        <v>18</v>
      </c>
      <c r="B144">
        <v>1870</v>
      </c>
      <c r="C144">
        <v>125015</v>
      </c>
      <c r="D144" s="1" t="s">
        <v>4</v>
      </c>
      <c r="E144" s="1" t="s">
        <v>19</v>
      </c>
    </row>
    <row r="145" spans="1:5" x14ac:dyDescent="0.5">
      <c r="A145" s="1" t="s">
        <v>18</v>
      </c>
      <c r="B145">
        <v>1860</v>
      </c>
      <c r="C145">
        <v>112216</v>
      </c>
      <c r="D145" s="1" t="s">
        <v>4</v>
      </c>
      <c r="E145" s="1" t="s">
        <v>19</v>
      </c>
    </row>
    <row r="146" spans="1:5" x14ac:dyDescent="0.5">
      <c r="A146" s="1" t="s">
        <v>18</v>
      </c>
      <c r="B146">
        <v>1850</v>
      </c>
      <c r="C146">
        <v>91532</v>
      </c>
      <c r="D146" s="1" t="s">
        <v>4</v>
      </c>
      <c r="E146" s="1" t="s">
        <v>19</v>
      </c>
    </row>
    <row r="147" spans="1:5" x14ac:dyDescent="0.5">
      <c r="A147" s="1" t="s">
        <v>18</v>
      </c>
      <c r="B147">
        <v>1840</v>
      </c>
      <c r="C147">
        <v>78085</v>
      </c>
      <c r="D147" s="1" t="s">
        <v>4</v>
      </c>
      <c r="E147" s="1" t="s">
        <v>19</v>
      </c>
    </row>
    <row r="148" spans="1:5" x14ac:dyDescent="0.5">
      <c r="A148" s="1" t="s">
        <v>18</v>
      </c>
      <c r="B148">
        <v>1830</v>
      </c>
      <c r="C148">
        <v>76748</v>
      </c>
      <c r="D148" s="1" t="s">
        <v>4</v>
      </c>
      <c r="E148" s="1" t="s">
        <v>19</v>
      </c>
    </row>
    <row r="149" spans="1:5" x14ac:dyDescent="0.5">
      <c r="A149" s="1" t="s">
        <v>18</v>
      </c>
      <c r="B149">
        <v>1820</v>
      </c>
      <c r="C149">
        <v>72749</v>
      </c>
      <c r="D149" s="1" t="s">
        <v>4</v>
      </c>
      <c r="E149" s="1" t="s">
        <v>19</v>
      </c>
    </row>
    <row r="150" spans="1:5" x14ac:dyDescent="0.5">
      <c r="A150" s="1" t="s">
        <v>18</v>
      </c>
      <c r="B150">
        <v>1810</v>
      </c>
      <c r="C150">
        <v>72674</v>
      </c>
      <c r="D150" s="1" t="s">
        <v>4</v>
      </c>
      <c r="E150" s="1" t="s">
        <v>19</v>
      </c>
    </row>
    <row r="151" spans="1:5" x14ac:dyDescent="0.5">
      <c r="A151" s="1" t="s">
        <v>18</v>
      </c>
      <c r="B151">
        <v>1800</v>
      </c>
      <c r="C151">
        <v>64273</v>
      </c>
      <c r="D151" s="1" t="s">
        <v>4</v>
      </c>
      <c r="E151" s="1" t="s">
        <v>19</v>
      </c>
    </row>
    <row r="152" spans="1:5" x14ac:dyDescent="0.5">
      <c r="A152" s="1" t="s">
        <v>18</v>
      </c>
      <c r="B152">
        <v>1790</v>
      </c>
      <c r="C152">
        <v>59093</v>
      </c>
      <c r="D152" s="1" t="s">
        <v>4</v>
      </c>
      <c r="E152" s="1" t="s">
        <v>19</v>
      </c>
    </row>
    <row r="153" spans="1:5" x14ac:dyDescent="0.5">
      <c r="A153" s="1" t="s">
        <v>69</v>
      </c>
      <c r="B153">
        <v>2010</v>
      </c>
      <c r="C153">
        <v>601723</v>
      </c>
      <c r="D153" s="1" t="s">
        <v>4</v>
      </c>
      <c r="E153" s="1" t="s">
        <v>19</v>
      </c>
    </row>
    <row r="154" spans="1:5" x14ac:dyDescent="0.5">
      <c r="A154" s="1" t="s">
        <v>69</v>
      </c>
      <c r="B154">
        <v>2000</v>
      </c>
      <c r="C154">
        <v>572059</v>
      </c>
      <c r="D154" s="1" t="s">
        <v>4</v>
      </c>
      <c r="E154" s="1" t="s">
        <v>19</v>
      </c>
    </row>
    <row r="155" spans="1:5" x14ac:dyDescent="0.5">
      <c r="A155" s="1" t="s">
        <v>69</v>
      </c>
      <c r="B155">
        <v>1990</v>
      </c>
      <c r="C155">
        <v>606900</v>
      </c>
      <c r="D155" s="1" t="s">
        <v>4</v>
      </c>
      <c r="E155" s="1" t="s">
        <v>19</v>
      </c>
    </row>
    <row r="156" spans="1:5" x14ac:dyDescent="0.5">
      <c r="A156" s="1" t="s">
        <v>69</v>
      </c>
      <c r="B156">
        <v>1980</v>
      </c>
      <c r="C156">
        <v>638432</v>
      </c>
      <c r="D156" s="1" t="s">
        <v>4</v>
      </c>
      <c r="E156" s="1" t="s">
        <v>19</v>
      </c>
    </row>
    <row r="157" spans="1:5" x14ac:dyDescent="0.5">
      <c r="A157" s="1" t="s">
        <v>69</v>
      </c>
      <c r="B157">
        <v>1970</v>
      </c>
      <c r="C157">
        <v>756668</v>
      </c>
      <c r="D157" s="1" t="s">
        <v>4</v>
      </c>
      <c r="E157" s="1" t="s">
        <v>19</v>
      </c>
    </row>
    <row r="158" spans="1:5" x14ac:dyDescent="0.5">
      <c r="A158" s="1" t="s">
        <v>69</v>
      </c>
      <c r="B158">
        <v>1960</v>
      </c>
      <c r="C158">
        <v>763956</v>
      </c>
      <c r="D158" s="1" t="s">
        <v>4</v>
      </c>
      <c r="E158" s="1" t="s">
        <v>19</v>
      </c>
    </row>
    <row r="159" spans="1:5" x14ac:dyDescent="0.5">
      <c r="A159" s="1" t="s">
        <v>69</v>
      </c>
      <c r="B159">
        <v>1950</v>
      </c>
      <c r="C159">
        <v>802178</v>
      </c>
      <c r="D159" s="1" t="s">
        <v>4</v>
      </c>
      <c r="E159" s="1" t="s">
        <v>19</v>
      </c>
    </row>
    <row r="160" spans="1:5" x14ac:dyDescent="0.5">
      <c r="A160" s="1" t="s">
        <v>69</v>
      </c>
      <c r="B160">
        <v>1940</v>
      </c>
      <c r="C160">
        <v>663091</v>
      </c>
      <c r="D160" s="1" t="s">
        <v>4</v>
      </c>
      <c r="E160" s="1" t="s">
        <v>19</v>
      </c>
    </row>
    <row r="161" spans="1:5" x14ac:dyDescent="0.5">
      <c r="A161" s="1" t="s">
        <v>69</v>
      </c>
      <c r="B161">
        <v>1930</v>
      </c>
      <c r="C161">
        <v>486869</v>
      </c>
      <c r="D161" s="1" t="s">
        <v>4</v>
      </c>
      <c r="E161" s="1" t="s">
        <v>19</v>
      </c>
    </row>
    <row r="162" spans="1:5" x14ac:dyDescent="0.5">
      <c r="A162" s="1" t="s">
        <v>69</v>
      </c>
      <c r="B162">
        <v>1920</v>
      </c>
      <c r="C162">
        <v>437571</v>
      </c>
      <c r="D162" s="1" t="s">
        <v>4</v>
      </c>
      <c r="E162" s="1" t="s">
        <v>19</v>
      </c>
    </row>
    <row r="163" spans="1:5" x14ac:dyDescent="0.5">
      <c r="A163" s="1" t="s">
        <v>69</v>
      </c>
      <c r="B163">
        <v>1910</v>
      </c>
      <c r="C163">
        <v>331069</v>
      </c>
      <c r="D163" s="1" t="s">
        <v>4</v>
      </c>
      <c r="E163" s="1" t="s">
        <v>19</v>
      </c>
    </row>
    <row r="164" spans="1:5" x14ac:dyDescent="0.5">
      <c r="A164" s="1" t="s">
        <v>69</v>
      </c>
      <c r="B164">
        <v>1900</v>
      </c>
      <c r="C164">
        <v>278718</v>
      </c>
      <c r="D164" s="1" t="s">
        <v>4</v>
      </c>
      <c r="E164" s="1" t="s">
        <v>19</v>
      </c>
    </row>
    <row r="165" spans="1:5" x14ac:dyDescent="0.5">
      <c r="A165" s="1" t="s">
        <v>69</v>
      </c>
      <c r="B165">
        <v>1890</v>
      </c>
      <c r="C165">
        <v>230392</v>
      </c>
      <c r="D165" s="1" t="s">
        <v>4</v>
      </c>
      <c r="E165" s="1" t="s">
        <v>19</v>
      </c>
    </row>
    <row r="166" spans="1:5" x14ac:dyDescent="0.5">
      <c r="A166" s="1" t="s">
        <v>69</v>
      </c>
      <c r="B166">
        <v>1880</v>
      </c>
      <c r="C166">
        <v>177624</v>
      </c>
      <c r="D166" s="1" t="s">
        <v>4</v>
      </c>
      <c r="E166" s="1" t="s">
        <v>19</v>
      </c>
    </row>
    <row r="167" spans="1:5" x14ac:dyDescent="0.5">
      <c r="A167" s="1" t="s">
        <v>69</v>
      </c>
      <c r="B167">
        <v>1870</v>
      </c>
      <c r="C167">
        <v>131700</v>
      </c>
      <c r="D167" s="1" t="s">
        <v>4</v>
      </c>
      <c r="E167" s="1" t="s">
        <v>19</v>
      </c>
    </row>
    <row r="168" spans="1:5" x14ac:dyDescent="0.5">
      <c r="A168" s="1" t="s">
        <v>69</v>
      </c>
      <c r="B168">
        <v>1860</v>
      </c>
      <c r="C168">
        <v>75080</v>
      </c>
      <c r="D168" s="1" t="s">
        <v>4</v>
      </c>
      <c r="E168" s="1" t="s">
        <v>19</v>
      </c>
    </row>
    <row r="169" spans="1:5" x14ac:dyDescent="0.5">
      <c r="A169" s="1" t="s">
        <v>69</v>
      </c>
      <c r="B169">
        <v>1850</v>
      </c>
      <c r="C169">
        <v>51687</v>
      </c>
      <c r="D169" s="1" t="s">
        <v>4</v>
      </c>
      <c r="E169" s="1" t="s">
        <v>19</v>
      </c>
    </row>
    <row r="170" spans="1:5" x14ac:dyDescent="0.5">
      <c r="A170" s="1" t="s">
        <v>69</v>
      </c>
      <c r="B170">
        <v>1840</v>
      </c>
      <c r="C170">
        <v>33745</v>
      </c>
      <c r="D170" s="1" t="s">
        <v>4</v>
      </c>
      <c r="E170" s="1" t="s">
        <v>19</v>
      </c>
    </row>
    <row r="171" spans="1:5" x14ac:dyDescent="0.5">
      <c r="A171" s="1" t="s">
        <v>69</v>
      </c>
      <c r="B171">
        <v>1830</v>
      </c>
      <c r="C171">
        <v>30261</v>
      </c>
      <c r="D171" s="1" t="s">
        <v>4</v>
      </c>
      <c r="E171" s="1" t="s">
        <v>19</v>
      </c>
    </row>
    <row r="172" spans="1:5" x14ac:dyDescent="0.5">
      <c r="A172" s="1" t="s">
        <v>69</v>
      </c>
      <c r="B172">
        <v>1820</v>
      </c>
      <c r="C172">
        <v>23336</v>
      </c>
      <c r="D172" s="1" t="s">
        <v>4</v>
      </c>
      <c r="E172" s="1" t="s">
        <v>19</v>
      </c>
    </row>
    <row r="173" spans="1:5" x14ac:dyDescent="0.5">
      <c r="A173" s="1" t="s">
        <v>69</v>
      </c>
      <c r="B173">
        <v>1810</v>
      </c>
      <c r="C173">
        <v>15471</v>
      </c>
      <c r="D173" s="1" t="s">
        <v>4</v>
      </c>
      <c r="E173" s="1" t="s">
        <v>19</v>
      </c>
    </row>
    <row r="174" spans="1:5" x14ac:dyDescent="0.5">
      <c r="A174" s="1" t="s">
        <v>69</v>
      </c>
      <c r="B174">
        <v>1800</v>
      </c>
      <c r="C174">
        <v>8144</v>
      </c>
      <c r="D174" s="1" t="s">
        <v>4</v>
      </c>
      <c r="E174" s="1" t="s">
        <v>19</v>
      </c>
    </row>
    <row r="175" spans="1:5" x14ac:dyDescent="0.5">
      <c r="A175" s="1" t="s">
        <v>20</v>
      </c>
      <c r="B175">
        <v>2010</v>
      </c>
      <c r="C175">
        <v>18801310</v>
      </c>
      <c r="D175" s="1" t="s">
        <v>4</v>
      </c>
      <c r="E175" s="1" t="s">
        <v>19</v>
      </c>
    </row>
    <row r="176" spans="1:5" x14ac:dyDescent="0.5">
      <c r="A176" s="1" t="s">
        <v>20</v>
      </c>
      <c r="B176">
        <v>2000</v>
      </c>
      <c r="C176">
        <v>15982378</v>
      </c>
      <c r="D176" s="1" t="s">
        <v>4</v>
      </c>
      <c r="E176" s="1" t="s">
        <v>19</v>
      </c>
    </row>
    <row r="177" spans="1:5" x14ac:dyDescent="0.5">
      <c r="A177" s="1" t="s">
        <v>20</v>
      </c>
      <c r="B177">
        <v>1990</v>
      </c>
      <c r="C177">
        <v>12937926</v>
      </c>
      <c r="D177" s="1" t="s">
        <v>4</v>
      </c>
      <c r="E177" s="1" t="s">
        <v>19</v>
      </c>
    </row>
    <row r="178" spans="1:5" x14ac:dyDescent="0.5">
      <c r="A178" s="1" t="s">
        <v>20</v>
      </c>
      <c r="B178">
        <v>1980</v>
      </c>
      <c r="C178">
        <v>9746961</v>
      </c>
      <c r="D178" s="1" t="s">
        <v>4</v>
      </c>
      <c r="E178" s="1" t="s">
        <v>19</v>
      </c>
    </row>
    <row r="179" spans="1:5" x14ac:dyDescent="0.5">
      <c r="A179" s="1" t="s">
        <v>20</v>
      </c>
      <c r="B179">
        <v>1970</v>
      </c>
      <c r="C179">
        <v>6791418</v>
      </c>
      <c r="D179" s="1" t="s">
        <v>4</v>
      </c>
      <c r="E179" s="1" t="s">
        <v>19</v>
      </c>
    </row>
    <row r="180" spans="1:5" x14ac:dyDescent="0.5">
      <c r="A180" s="1" t="s">
        <v>20</v>
      </c>
      <c r="B180">
        <v>1960</v>
      </c>
      <c r="C180">
        <v>4951560</v>
      </c>
      <c r="D180" s="1" t="s">
        <v>4</v>
      </c>
      <c r="E180" s="1" t="s">
        <v>19</v>
      </c>
    </row>
    <row r="181" spans="1:5" x14ac:dyDescent="0.5">
      <c r="A181" s="1" t="s">
        <v>20</v>
      </c>
      <c r="B181">
        <v>1950</v>
      </c>
      <c r="C181">
        <v>2771305</v>
      </c>
      <c r="D181" s="1" t="s">
        <v>4</v>
      </c>
      <c r="E181" s="1" t="s">
        <v>19</v>
      </c>
    </row>
    <row r="182" spans="1:5" x14ac:dyDescent="0.5">
      <c r="A182" s="1" t="s">
        <v>20</v>
      </c>
      <c r="B182">
        <v>1940</v>
      </c>
      <c r="C182">
        <v>1897414</v>
      </c>
      <c r="D182" s="1" t="s">
        <v>4</v>
      </c>
      <c r="E182" s="1" t="s">
        <v>19</v>
      </c>
    </row>
    <row r="183" spans="1:5" x14ac:dyDescent="0.5">
      <c r="A183" s="1" t="s">
        <v>20</v>
      </c>
      <c r="B183">
        <v>1930</v>
      </c>
      <c r="C183">
        <v>1468211</v>
      </c>
      <c r="D183" s="1" t="s">
        <v>4</v>
      </c>
      <c r="E183" s="1" t="s">
        <v>19</v>
      </c>
    </row>
    <row r="184" spans="1:5" x14ac:dyDescent="0.5">
      <c r="A184" s="1" t="s">
        <v>20</v>
      </c>
      <c r="B184">
        <v>1920</v>
      </c>
      <c r="C184">
        <v>968470</v>
      </c>
      <c r="D184" s="1" t="s">
        <v>4</v>
      </c>
      <c r="E184" s="1" t="s">
        <v>19</v>
      </c>
    </row>
    <row r="185" spans="1:5" x14ac:dyDescent="0.5">
      <c r="A185" s="1" t="s">
        <v>20</v>
      </c>
      <c r="B185">
        <v>1910</v>
      </c>
      <c r="C185">
        <v>752619</v>
      </c>
      <c r="D185" s="1" t="s">
        <v>4</v>
      </c>
      <c r="E185" s="1" t="s">
        <v>19</v>
      </c>
    </row>
    <row r="186" spans="1:5" x14ac:dyDescent="0.5">
      <c r="A186" s="1" t="s">
        <v>20</v>
      </c>
      <c r="B186">
        <v>1900</v>
      </c>
      <c r="C186">
        <v>528542</v>
      </c>
      <c r="D186" s="1" t="s">
        <v>4</v>
      </c>
      <c r="E186" s="1" t="s">
        <v>19</v>
      </c>
    </row>
    <row r="187" spans="1:5" x14ac:dyDescent="0.5">
      <c r="A187" s="1" t="s">
        <v>20</v>
      </c>
      <c r="B187">
        <v>1890</v>
      </c>
      <c r="C187">
        <v>391422</v>
      </c>
      <c r="D187" s="1" t="s">
        <v>4</v>
      </c>
      <c r="E187" s="1" t="s">
        <v>19</v>
      </c>
    </row>
    <row r="188" spans="1:5" x14ac:dyDescent="0.5">
      <c r="A188" s="1" t="s">
        <v>20</v>
      </c>
      <c r="B188">
        <v>1880</v>
      </c>
      <c r="C188">
        <v>269493</v>
      </c>
      <c r="D188" s="1" t="s">
        <v>4</v>
      </c>
      <c r="E188" s="1" t="s">
        <v>19</v>
      </c>
    </row>
    <row r="189" spans="1:5" x14ac:dyDescent="0.5">
      <c r="A189" s="1" t="s">
        <v>20</v>
      </c>
      <c r="B189">
        <v>1870</v>
      </c>
      <c r="C189">
        <v>187748</v>
      </c>
      <c r="D189" s="1" t="s">
        <v>4</v>
      </c>
      <c r="E189" s="1" t="s">
        <v>19</v>
      </c>
    </row>
    <row r="190" spans="1:5" x14ac:dyDescent="0.5">
      <c r="A190" s="1" t="s">
        <v>20</v>
      </c>
      <c r="B190">
        <v>1860</v>
      </c>
      <c r="C190">
        <v>140424</v>
      </c>
      <c r="D190" s="1" t="s">
        <v>4</v>
      </c>
      <c r="E190" s="1" t="s">
        <v>19</v>
      </c>
    </row>
    <row r="191" spans="1:5" x14ac:dyDescent="0.5">
      <c r="A191" s="1" t="s">
        <v>20</v>
      </c>
      <c r="B191">
        <v>1850</v>
      </c>
      <c r="C191">
        <v>87445</v>
      </c>
      <c r="D191" s="1" t="s">
        <v>4</v>
      </c>
      <c r="E191" s="1" t="s">
        <v>19</v>
      </c>
    </row>
    <row r="192" spans="1:5" x14ac:dyDescent="0.5">
      <c r="A192" s="1" t="s">
        <v>20</v>
      </c>
      <c r="B192">
        <v>1840</v>
      </c>
      <c r="C192">
        <v>54477</v>
      </c>
      <c r="D192" s="1" t="s">
        <v>4</v>
      </c>
      <c r="E192" s="1" t="s">
        <v>19</v>
      </c>
    </row>
    <row r="193" spans="1:5" x14ac:dyDescent="0.5">
      <c r="A193" s="1" t="s">
        <v>20</v>
      </c>
      <c r="B193">
        <v>1830</v>
      </c>
      <c r="C193">
        <v>34730</v>
      </c>
      <c r="D193" s="1" t="s">
        <v>4</v>
      </c>
      <c r="E193" s="1" t="s">
        <v>19</v>
      </c>
    </row>
    <row r="194" spans="1:5" x14ac:dyDescent="0.5">
      <c r="A194" s="1" t="s">
        <v>21</v>
      </c>
      <c r="B194">
        <v>2010</v>
      </c>
      <c r="C194">
        <v>9687653</v>
      </c>
      <c r="D194" s="1" t="s">
        <v>4</v>
      </c>
      <c r="E194" s="1" t="s">
        <v>19</v>
      </c>
    </row>
    <row r="195" spans="1:5" x14ac:dyDescent="0.5">
      <c r="A195" s="1" t="s">
        <v>21</v>
      </c>
      <c r="B195">
        <v>2000</v>
      </c>
      <c r="C195">
        <v>8186453</v>
      </c>
      <c r="D195" s="1" t="s">
        <v>4</v>
      </c>
      <c r="E195" s="1" t="s">
        <v>19</v>
      </c>
    </row>
    <row r="196" spans="1:5" x14ac:dyDescent="0.5">
      <c r="A196" s="1" t="s">
        <v>21</v>
      </c>
      <c r="B196">
        <v>1990</v>
      </c>
      <c r="C196">
        <v>6478216</v>
      </c>
      <c r="D196" s="1" t="s">
        <v>4</v>
      </c>
      <c r="E196" s="1" t="s">
        <v>19</v>
      </c>
    </row>
    <row r="197" spans="1:5" x14ac:dyDescent="0.5">
      <c r="A197" s="1" t="s">
        <v>21</v>
      </c>
      <c r="B197">
        <v>1980</v>
      </c>
      <c r="C197">
        <v>5462982</v>
      </c>
      <c r="D197" s="1" t="s">
        <v>4</v>
      </c>
      <c r="E197" s="1" t="s">
        <v>19</v>
      </c>
    </row>
    <row r="198" spans="1:5" x14ac:dyDescent="0.5">
      <c r="A198" s="1" t="s">
        <v>21</v>
      </c>
      <c r="B198">
        <v>1970</v>
      </c>
      <c r="C198">
        <v>4587930</v>
      </c>
      <c r="D198" s="1" t="s">
        <v>4</v>
      </c>
      <c r="E198" s="1" t="s">
        <v>19</v>
      </c>
    </row>
    <row r="199" spans="1:5" x14ac:dyDescent="0.5">
      <c r="A199" s="1" t="s">
        <v>21</v>
      </c>
      <c r="B199">
        <v>1960</v>
      </c>
      <c r="C199">
        <v>3943116</v>
      </c>
      <c r="D199" s="1" t="s">
        <v>4</v>
      </c>
      <c r="E199" s="1" t="s">
        <v>19</v>
      </c>
    </row>
    <row r="200" spans="1:5" x14ac:dyDescent="0.5">
      <c r="A200" s="1" t="s">
        <v>21</v>
      </c>
      <c r="B200">
        <v>1950</v>
      </c>
      <c r="C200">
        <v>3444578</v>
      </c>
      <c r="D200" s="1" t="s">
        <v>4</v>
      </c>
      <c r="E200" s="1" t="s">
        <v>19</v>
      </c>
    </row>
    <row r="201" spans="1:5" x14ac:dyDescent="0.5">
      <c r="A201" s="1" t="s">
        <v>21</v>
      </c>
      <c r="B201">
        <v>1940</v>
      </c>
      <c r="C201">
        <v>3123723</v>
      </c>
      <c r="D201" s="1" t="s">
        <v>4</v>
      </c>
      <c r="E201" s="1" t="s">
        <v>19</v>
      </c>
    </row>
    <row r="202" spans="1:5" x14ac:dyDescent="0.5">
      <c r="A202" s="1" t="s">
        <v>21</v>
      </c>
      <c r="B202">
        <v>1930</v>
      </c>
      <c r="C202">
        <v>2908506</v>
      </c>
      <c r="D202" s="1" t="s">
        <v>4</v>
      </c>
      <c r="E202" s="1" t="s">
        <v>19</v>
      </c>
    </row>
    <row r="203" spans="1:5" x14ac:dyDescent="0.5">
      <c r="A203" s="1" t="s">
        <v>21</v>
      </c>
      <c r="B203">
        <v>1920</v>
      </c>
      <c r="C203">
        <v>2895832</v>
      </c>
      <c r="D203" s="1" t="s">
        <v>4</v>
      </c>
      <c r="E203" s="1" t="s">
        <v>19</v>
      </c>
    </row>
    <row r="204" spans="1:5" x14ac:dyDescent="0.5">
      <c r="A204" s="1" t="s">
        <v>21</v>
      </c>
      <c r="B204">
        <v>1910</v>
      </c>
      <c r="C204">
        <v>2609121</v>
      </c>
      <c r="D204" s="1" t="s">
        <v>4</v>
      </c>
      <c r="E204" s="1" t="s">
        <v>19</v>
      </c>
    </row>
    <row r="205" spans="1:5" x14ac:dyDescent="0.5">
      <c r="A205" s="1" t="s">
        <v>21</v>
      </c>
      <c r="B205">
        <v>1900</v>
      </c>
      <c r="C205">
        <v>2216331</v>
      </c>
      <c r="D205" s="1" t="s">
        <v>4</v>
      </c>
      <c r="E205" s="1" t="s">
        <v>19</v>
      </c>
    </row>
    <row r="206" spans="1:5" x14ac:dyDescent="0.5">
      <c r="A206" s="1" t="s">
        <v>21</v>
      </c>
      <c r="B206">
        <v>1890</v>
      </c>
      <c r="C206">
        <v>1837353</v>
      </c>
      <c r="D206" s="1" t="s">
        <v>4</v>
      </c>
      <c r="E206" s="1" t="s">
        <v>19</v>
      </c>
    </row>
    <row r="207" spans="1:5" x14ac:dyDescent="0.5">
      <c r="A207" s="1" t="s">
        <v>21</v>
      </c>
      <c r="B207">
        <v>1880</v>
      </c>
      <c r="C207">
        <v>1542180</v>
      </c>
      <c r="D207" s="1" t="s">
        <v>4</v>
      </c>
      <c r="E207" s="1" t="s">
        <v>19</v>
      </c>
    </row>
    <row r="208" spans="1:5" x14ac:dyDescent="0.5">
      <c r="A208" s="1" t="s">
        <v>21</v>
      </c>
      <c r="B208">
        <v>1870</v>
      </c>
      <c r="C208">
        <v>1184109</v>
      </c>
      <c r="D208" s="1" t="s">
        <v>4</v>
      </c>
      <c r="E208" s="1" t="s">
        <v>19</v>
      </c>
    </row>
    <row r="209" spans="1:5" x14ac:dyDescent="0.5">
      <c r="A209" s="1" t="s">
        <v>21</v>
      </c>
      <c r="B209">
        <v>1860</v>
      </c>
      <c r="C209">
        <v>1057286</v>
      </c>
      <c r="D209" s="1" t="s">
        <v>4</v>
      </c>
      <c r="E209" s="1" t="s">
        <v>19</v>
      </c>
    </row>
    <row r="210" spans="1:5" x14ac:dyDescent="0.5">
      <c r="A210" s="1" t="s">
        <v>21</v>
      </c>
      <c r="B210">
        <v>1850</v>
      </c>
      <c r="C210">
        <v>906185</v>
      </c>
      <c r="D210" s="1" t="s">
        <v>4</v>
      </c>
      <c r="E210" s="1" t="s">
        <v>19</v>
      </c>
    </row>
    <row r="211" spans="1:5" x14ac:dyDescent="0.5">
      <c r="A211" s="1" t="s">
        <v>21</v>
      </c>
      <c r="B211">
        <v>1840</v>
      </c>
      <c r="C211">
        <v>691392</v>
      </c>
      <c r="D211" s="1" t="s">
        <v>4</v>
      </c>
      <c r="E211" s="1" t="s">
        <v>19</v>
      </c>
    </row>
    <row r="212" spans="1:5" x14ac:dyDescent="0.5">
      <c r="A212" s="1" t="s">
        <v>21</v>
      </c>
      <c r="B212">
        <v>1830</v>
      </c>
      <c r="C212">
        <v>516823</v>
      </c>
      <c r="D212" s="1" t="s">
        <v>4</v>
      </c>
      <c r="E212" s="1" t="s">
        <v>19</v>
      </c>
    </row>
    <row r="213" spans="1:5" x14ac:dyDescent="0.5">
      <c r="A213" s="1" t="s">
        <v>21</v>
      </c>
      <c r="B213">
        <v>1820</v>
      </c>
      <c r="C213">
        <v>340989</v>
      </c>
      <c r="D213" s="1" t="s">
        <v>4</v>
      </c>
      <c r="E213" s="1" t="s">
        <v>19</v>
      </c>
    </row>
    <row r="214" spans="1:5" x14ac:dyDescent="0.5">
      <c r="A214" s="1" t="s">
        <v>21</v>
      </c>
      <c r="B214">
        <v>1810</v>
      </c>
      <c r="C214">
        <v>252433</v>
      </c>
      <c r="D214" s="1" t="s">
        <v>4</v>
      </c>
      <c r="E214" s="1" t="s">
        <v>19</v>
      </c>
    </row>
    <row r="215" spans="1:5" x14ac:dyDescent="0.5">
      <c r="A215" s="1" t="s">
        <v>21</v>
      </c>
      <c r="B215">
        <v>1800</v>
      </c>
      <c r="C215">
        <v>162686</v>
      </c>
      <c r="D215" s="1" t="s">
        <v>4</v>
      </c>
      <c r="E215" s="1" t="s">
        <v>19</v>
      </c>
    </row>
    <row r="216" spans="1:5" x14ac:dyDescent="0.5">
      <c r="A216" s="1" t="s">
        <v>21</v>
      </c>
      <c r="B216">
        <v>1790</v>
      </c>
      <c r="C216">
        <v>82548</v>
      </c>
      <c r="D216" s="1" t="s">
        <v>4</v>
      </c>
      <c r="E216" s="1" t="s">
        <v>19</v>
      </c>
    </row>
    <row r="217" spans="1:5" x14ac:dyDescent="0.5">
      <c r="A217" s="1" t="s">
        <v>22</v>
      </c>
      <c r="B217">
        <v>2010</v>
      </c>
      <c r="C217">
        <v>1360301</v>
      </c>
      <c r="D217" s="1" t="s">
        <v>7</v>
      </c>
      <c r="E217" s="1" t="s">
        <v>8</v>
      </c>
    </row>
    <row r="218" spans="1:5" x14ac:dyDescent="0.5">
      <c r="A218" s="1" t="s">
        <v>22</v>
      </c>
      <c r="B218">
        <v>2000</v>
      </c>
      <c r="C218">
        <v>1211537</v>
      </c>
      <c r="D218" s="1" t="s">
        <v>7</v>
      </c>
      <c r="E218" s="1" t="s">
        <v>8</v>
      </c>
    </row>
    <row r="219" spans="1:5" x14ac:dyDescent="0.5">
      <c r="A219" s="1" t="s">
        <v>22</v>
      </c>
      <c r="B219">
        <v>1990</v>
      </c>
      <c r="C219">
        <v>1108229</v>
      </c>
      <c r="D219" s="1" t="s">
        <v>7</v>
      </c>
      <c r="E219" s="1" t="s">
        <v>8</v>
      </c>
    </row>
    <row r="220" spans="1:5" x14ac:dyDescent="0.5">
      <c r="A220" s="1" t="s">
        <v>22</v>
      </c>
      <c r="B220">
        <v>1980</v>
      </c>
      <c r="C220">
        <v>964691</v>
      </c>
      <c r="D220" s="1" t="s">
        <v>7</v>
      </c>
      <c r="E220" s="1" t="s">
        <v>8</v>
      </c>
    </row>
    <row r="221" spans="1:5" x14ac:dyDescent="0.5">
      <c r="A221" s="1" t="s">
        <v>22</v>
      </c>
      <c r="B221">
        <v>1970</v>
      </c>
      <c r="C221">
        <v>769913</v>
      </c>
      <c r="D221" s="1" t="s">
        <v>7</v>
      </c>
      <c r="E221" s="1" t="s">
        <v>8</v>
      </c>
    </row>
    <row r="222" spans="1:5" x14ac:dyDescent="0.5">
      <c r="A222" s="1" t="s">
        <v>22</v>
      </c>
      <c r="B222">
        <v>1960</v>
      </c>
      <c r="C222">
        <v>632772</v>
      </c>
      <c r="D222" s="1" t="s">
        <v>7</v>
      </c>
      <c r="E222" s="1" t="s">
        <v>8</v>
      </c>
    </row>
    <row r="223" spans="1:5" x14ac:dyDescent="0.5">
      <c r="A223" s="1" t="s">
        <v>22</v>
      </c>
      <c r="B223">
        <v>1950</v>
      </c>
      <c r="C223">
        <v>499794</v>
      </c>
      <c r="D223" s="1" t="s">
        <v>7</v>
      </c>
      <c r="E223" s="1" t="s">
        <v>8</v>
      </c>
    </row>
    <row r="224" spans="1:5" x14ac:dyDescent="0.5">
      <c r="A224" s="1" t="s">
        <v>22</v>
      </c>
      <c r="B224">
        <v>1940</v>
      </c>
      <c r="C224">
        <v>722770</v>
      </c>
      <c r="D224" s="1" t="s">
        <v>7</v>
      </c>
      <c r="E224" s="1" t="s">
        <v>8</v>
      </c>
    </row>
    <row r="225" spans="1:5" x14ac:dyDescent="0.5">
      <c r="A225" s="1" t="s">
        <v>22</v>
      </c>
      <c r="B225">
        <v>1930</v>
      </c>
      <c r="C225">
        <v>368300</v>
      </c>
      <c r="D225" s="1" t="s">
        <v>7</v>
      </c>
      <c r="E225" s="1" t="s">
        <v>8</v>
      </c>
    </row>
    <row r="226" spans="1:5" x14ac:dyDescent="0.5">
      <c r="A226" s="1" t="s">
        <v>22</v>
      </c>
      <c r="B226">
        <v>1920</v>
      </c>
      <c r="C226">
        <v>225881</v>
      </c>
      <c r="D226" s="1" t="s">
        <v>7</v>
      </c>
      <c r="E226" s="1" t="s">
        <v>8</v>
      </c>
    </row>
    <row r="227" spans="1:5" x14ac:dyDescent="0.5">
      <c r="A227" s="1" t="s">
        <v>22</v>
      </c>
      <c r="B227">
        <v>1910</v>
      </c>
      <c r="C227">
        <v>191874</v>
      </c>
      <c r="D227" s="1" t="s">
        <v>7</v>
      </c>
      <c r="E227" s="1" t="s">
        <v>8</v>
      </c>
    </row>
    <row r="228" spans="1:5" x14ac:dyDescent="0.5">
      <c r="A228" s="1" t="s">
        <v>22</v>
      </c>
      <c r="B228">
        <v>1900</v>
      </c>
      <c r="C228">
        <v>154001</v>
      </c>
      <c r="D228" s="1" t="s">
        <v>7</v>
      </c>
      <c r="E228" s="1" t="s">
        <v>8</v>
      </c>
    </row>
    <row r="229" spans="1:5" x14ac:dyDescent="0.5">
      <c r="A229" s="1" t="s">
        <v>23</v>
      </c>
      <c r="B229">
        <v>2010</v>
      </c>
      <c r="C229">
        <v>1567582</v>
      </c>
      <c r="D229" s="1" t="s">
        <v>7</v>
      </c>
      <c r="E229" s="1" t="s">
        <v>10</v>
      </c>
    </row>
    <row r="230" spans="1:5" x14ac:dyDescent="0.5">
      <c r="A230" s="1" t="s">
        <v>23</v>
      </c>
      <c r="B230">
        <v>2000</v>
      </c>
      <c r="C230">
        <v>1293953</v>
      </c>
      <c r="D230" s="1" t="s">
        <v>7</v>
      </c>
      <c r="E230" s="1" t="s">
        <v>10</v>
      </c>
    </row>
    <row r="231" spans="1:5" x14ac:dyDescent="0.5">
      <c r="A231" s="1" t="s">
        <v>23</v>
      </c>
      <c r="B231">
        <v>1990</v>
      </c>
      <c r="C231">
        <v>1006749</v>
      </c>
      <c r="D231" s="1" t="s">
        <v>7</v>
      </c>
      <c r="E231" s="1" t="s">
        <v>10</v>
      </c>
    </row>
    <row r="232" spans="1:5" x14ac:dyDescent="0.5">
      <c r="A232" s="1" t="s">
        <v>23</v>
      </c>
      <c r="B232">
        <v>1980</v>
      </c>
      <c r="C232">
        <v>944127</v>
      </c>
      <c r="D232" s="1" t="s">
        <v>7</v>
      </c>
      <c r="E232" s="1" t="s">
        <v>10</v>
      </c>
    </row>
    <row r="233" spans="1:5" x14ac:dyDescent="0.5">
      <c r="A233" s="1" t="s">
        <v>23</v>
      </c>
      <c r="B233">
        <v>1970</v>
      </c>
      <c r="C233">
        <v>713015</v>
      </c>
      <c r="D233" s="1" t="s">
        <v>7</v>
      </c>
      <c r="E233" s="1" t="s">
        <v>10</v>
      </c>
    </row>
    <row r="234" spans="1:5" x14ac:dyDescent="0.5">
      <c r="A234" s="1" t="s">
        <v>23</v>
      </c>
      <c r="B234">
        <v>1960</v>
      </c>
      <c r="C234">
        <v>667191</v>
      </c>
      <c r="D234" s="1" t="s">
        <v>7</v>
      </c>
      <c r="E234" s="1" t="s">
        <v>10</v>
      </c>
    </row>
    <row r="235" spans="1:5" x14ac:dyDescent="0.5">
      <c r="A235" s="1" t="s">
        <v>23</v>
      </c>
      <c r="B235">
        <v>1950</v>
      </c>
      <c r="C235">
        <v>588637</v>
      </c>
      <c r="D235" s="1" t="s">
        <v>7</v>
      </c>
      <c r="E235" s="1" t="s">
        <v>10</v>
      </c>
    </row>
    <row r="236" spans="1:5" x14ac:dyDescent="0.5">
      <c r="A236" s="1" t="s">
        <v>23</v>
      </c>
      <c r="B236">
        <v>1940</v>
      </c>
      <c r="C236">
        <v>524873</v>
      </c>
      <c r="D236" s="1" t="s">
        <v>7</v>
      </c>
      <c r="E236" s="1" t="s">
        <v>10</v>
      </c>
    </row>
    <row r="237" spans="1:5" x14ac:dyDescent="0.5">
      <c r="A237" s="1" t="s">
        <v>23</v>
      </c>
      <c r="B237">
        <v>1930</v>
      </c>
      <c r="C237">
        <v>445032</v>
      </c>
      <c r="D237" s="1" t="s">
        <v>7</v>
      </c>
      <c r="E237" s="1" t="s">
        <v>10</v>
      </c>
    </row>
    <row r="238" spans="1:5" x14ac:dyDescent="0.5">
      <c r="A238" s="1" t="s">
        <v>23</v>
      </c>
      <c r="B238">
        <v>1920</v>
      </c>
      <c r="C238">
        <v>431866</v>
      </c>
      <c r="D238" s="1" t="s">
        <v>7</v>
      </c>
      <c r="E238" s="1" t="s">
        <v>10</v>
      </c>
    </row>
    <row r="239" spans="1:5" x14ac:dyDescent="0.5">
      <c r="A239" s="1" t="s">
        <v>23</v>
      </c>
      <c r="B239">
        <v>1910</v>
      </c>
      <c r="C239">
        <v>325594</v>
      </c>
      <c r="D239" s="1" t="s">
        <v>7</v>
      </c>
      <c r="E239" s="1" t="s">
        <v>10</v>
      </c>
    </row>
    <row r="240" spans="1:5" x14ac:dyDescent="0.5">
      <c r="A240" s="1" t="s">
        <v>23</v>
      </c>
      <c r="B240">
        <v>1900</v>
      </c>
      <c r="C240">
        <v>161772</v>
      </c>
      <c r="D240" s="1" t="s">
        <v>7</v>
      </c>
      <c r="E240" s="1" t="s">
        <v>10</v>
      </c>
    </row>
    <row r="241" spans="1:5" x14ac:dyDescent="0.5">
      <c r="A241" s="1" t="s">
        <v>23</v>
      </c>
      <c r="B241">
        <v>1890</v>
      </c>
      <c r="C241">
        <v>88548</v>
      </c>
      <c r="D241" s="1" t="s">
        <v>7</v>
      </c>
      <c r="E241" s="1" t="s">
        <v>10</v>
      </c>
    </row>
    <row r="242" spans="1:5" x14ac:dyDescent="0.5">
      <c r="A242" s="1" t="s">
        <v>23</v>
      </c>
      <c r="B242">
        <v>1880</v>
      </c>
      <c r="C242">
        <v>32610</v>
      </c>
      <c r="D242" s="1" t="s">
        <v>7</v>
      </c>
      <c r="E242" s="1" t="s">
        <v>10</v>
      </c>
    </row>
    <row r="243" spans="1:5" x14ac:dyDescent="0.5">
      <c r="A243" s="1" t="s">
        <v>23</v>
      </c>
      <c r="B243">
        <v>1870</v>
      </c>
      <c r="C243">
        <v>14999</v>
      </c>
      <c r="D243" s="1" t="s">
        <v>7</v>
      </c>
      <c r="E243" s="1" t="s">
        <v>10</v>
      </c>
    </row>
    <row r="244" spans="1:5" x14ac:dyDescent="0.5">
      <c r="A244" s="1" t="s">
        <v>24</v>
      </c>
      <c r="B244">
        <v>2010</v>
      </c>
      <c r="C244">
        <v>12830632</v>
      </c>
      <c r="D244" s="1" t="s">
        <v>25</v>
      </c>
      <c r="E244" s="1" t="s">
        <v>26</v>
      </c>
    </row>
    <row r="245" spans="1:5" x14ac:dyDescent="0.5">
      <c r="A245" s="1" t="s">
        <v>24</v>
      </c>
      <c r="B245">
        <v>2000</v>
      </c>
      <c r="C245">
        <v>12419293</v>
      </c>
      <c r="D245" s="1" t="s">
        <v>25</v>
      </c>
      <c r="E245" s="1" t="s">
        <v>26</v>
      </c>
    </row>
    <row r="246" spans="1:5" x14ac:dyDescent="0.5">
      <c r="A246" s="1" t="s">
        <v>24</v>
      </c>
      <c r="B246">
        <v>1990</v>
      </c>
      <c r="C246">
        <v>11430602</v>
      </c>
      <c r="D246" s="1" t="s">
        <v>25</v>
      </c>
      <c r="E246" s="1" t="s">
        <v>26</v>
      </c>
    </row>
    <row r="247" spans="1:5" x14ac:dyDescent="0.5">
      <c r="A247" s="1" t="s">
        <v>24</v>
      </c>
      <c r="B247">
        <v>1980</v>
      </c>
      <c r="C247">
        <v>11427409</v>
      </c>
      <c r="D247" s="1" t="s">
        <v>25</v>
      </c>
      <c r="E247" s="1" t="s">
        <v>26</v>
      </c>
    </row>
    <row r="248" spans="1:5" x14ac:dyDescent="0.5">
      <c r="A248" s="1" t="s">
        <v>24</v>
      </c>
      <c r="B248">
        <v>1970</v>
      </c>
      <c r="C248">
        <v>11110285</v>
      </c>
      <c r="D248" s="1" t="s">
        <v>25</v>
      </c>
      <c r="E248" s="1" t="s">
        <v>26</v>
      </c>
    </row>
    <row r="249" spans="1:5" x14ac:dyDescent="0.5">
      <c r="A249" s="1" t="s">
        <v>24</v>
      </c>
      <c r="B249">
        <v>1960</v>
      </c>
      <c r="C249">
        <v>10081158</v>
      </c>
      <c r="D249" s="1" t="s">
        <v>25</v>
      </c>
      <c r="E249" s="1" t="s">
        <v>26</v>
      </c>
    </row>
    <row r="250" spans="1:5" x14ac:dyDescent="0.5">
      <c r="A250" s="1" t="s">
        <v>24</v>
      </c>
      <c r="B250">
        <v>1950</v>
      </c>
      <c r="C250">
        <v>8712176</v>
      </c>
      <c r="D250" s="1" t="s">
        <v>25</v>
      </c>
      <c r="E250" s="1" t="s">
        <v>26</v>
      </c>
    </row>
    <row r="251" spans="1:5" x14ac:dyDescent="0.5">
      <c r="A251" s="1" t="s">
        <v>24</v>
      </c>
      <c r="B251">
        <v>1940</v>
      </c>
      <c r="C251">
        <v>7897241</v>
      </c>
      <c r="D251" s="1" t="s">
        <v>25</v>
      </c>
      <c r="E251" s="1" t="s">
        <v>26</v>
      </c>
    </row>
    <row r="252" spans="1:5" x14ac:dyDescent="0.5">
      <c r="A252" s="1" t="s">
        <v>24</v>
      </c>
      <c r="B252">
        <v>1930</v>
      </c>
      <c r="C252">
        <v>7630654</v>
      </c>
      <c r="D252" s="1" t="s">
        <v>25</v>
      </c>
      <c r="E252" s="1" t="s">
        <v>26</v>
      </c>
    </row>
    <row r="253" spans="1:5" x14ac:dyDescent="0.5">
      <c r="A253" s="1" t="s">
        <v>24</v>
      </c>
      <c r="B253">
        <v>1920</v>
      </c>
      <c r="C253">
        <v>6485280</v>
      </c>
      <c r="D253" s="1" t="s">
        <v>25</v>
      </c>
      <c r="E253" s="1" t="s">
        <v>26</v>
      </c>
    </row>
    <row r="254" spans="1:5" x14ac:dyDescent="0.5">
      <c r="A254" s="1" t="s">
        <v>24</v>
      </c>
      <c r="B254">
        <v>1910</v>
      </c>
      <c r="C254">
        <v>5638591</v>
      </c>
      <c r="D254" s="1" t="s">
        <v>25</v>
      </c>
      <c r="E254" s="1" t="s">
        <v>26</v>
      </c>
    </row>
    <row r="255" spans="1:5" x14ac:dyDescent="0.5">
      <c r="A255" s="1" t="s">
        <v>24</v>
      </c>
      <c r="B255">
        <v>1900</v>
      </c>
      <c r="C255">
        <v>4821550</v>
      </c>
      <c r="D255" s="1" t="s">
        <v>25</v>
      </c>
      <c r="E255" s="1" t="s">
        <v>26</v>
      </c>
    </row>
    <row r="256" spans="1:5" x14ac:dyDescent="0.5">
      <c r="A256" s="1" t="s">
        <v>24</v>
      </c>
      <c r="B256">
        <v>1890</v>
      </c>
      <c r="C256">
        <v>3286352</v>
      </c>
      <c r="D256" s="1" t="s">
        <v>25</v>
      </c>
      <c r="E256" s="1" t="s">
        <v>26</v>
      </c>
    </row>
    <row r="257" spans="1:5" x14ac:dyDescent="0.5">
      <c r="A257" s="1" t="s">
        <v>24</v>
      </c>
      <c r="B257">
        <v>1880</v>
      </c>
      <c r="C257">
        <v>3077871</v>
      </c>
      <c r="D257" s="1" t="s">
        <v>25</v>
      </c>
      <c r="E257" s="1" t="s">
        <v>26</v>
      </c>
    </row>
    <row r="258" spans="1:5" x14ac:dyDescent="0.5">
      <c r="A258" s="1" t="s">
        <v>24</v>
      </c>
      <c r="B258">
        <v>1870</v>
      </c>
      <c r="C258">
        <v>2539891</v>
      </c>
      <c r="D258" s="1" t="s">
        <v>25</v>
      </c>
      <c r="E258" s="1" t="s">
        <v>26</v>
      </c>
    </row>
    <row r="259" spans="1:5" x14ac:dyDescent="0.5">
      <c r="A259" s="1" t="s">
        <v>24</v>
      </c>
      <c r="B259">
        <v>1860</v>
      </c>
      <c r="C259">
        <v>1711951</v>
      </c>
      <c r="D259" s="1" t="s">
        <v>25</v>
      </c>
      <c r="E259" s="1" t="s">
        <v>26</v>
      </c>
    </row>
    <row r="260" spans="1:5" x14ac:dyDescent="0.5">
      <c r="A260" s="1" t="s">
        <v>24</v>
      </c>
      <c r="B260">
        <v>1850</v>
      </c>
      <c r="C260">
        <v>851470</v>
      </c>
      <c r="D260" s="1" t="s">
        <v>25</v>
      </c>
      <c r="E260" s="1" t="s">
        <v>26</v>
      </c>
    </row>
    <row r="261" spans="1:5" x14ac:dyDescent="0.5">
      <c r="A261" s="1" t="s">
        <v>24</v>
      </c>
      <c r="B261">
        <v>1840</v>
      </c>
      <c r="C261">
        <v>476183</v>
      </c>
      <c r="D261" s="1" t="s">
        <v>25</v>
      </c>
      <c r="E261" s="1" t="s">
        <v>26</v>
      </c>
    </row>
    <row r="262" spans="1:5" x14ac:dyDescent="0.5">
      <c r="A262" s="1" t="s">
        <v>24</v>
      </c>
      <c r="B262">
        <v>1830</v>
      </c>
      <c r="C262">
        <v>157445</v>
      </c>
      <c r="D262" s="1" t="s">
        <v>25</v>
      </c>
      <c r="E262" s="1" t="s">
        <v>26</v>
      </c>
    </row>
    <row r="263" spans="1:5" x14ac:dyDescent="0.5">
      <c r="A263" s="1" t="s">
        <v>24</v>
      </c>
      <c r="B263">
        <v>1820</v>
      </c>
      <c r="C263">
        <v>55211</v>
      </c>
      <c r="D263" s="1" t="s">
        <v>25</v>
      </c>
      <c r="E263" s="1" t="s">
        <v>26</v>
      </c>
    </row>
    <row r="264" spans="1:5" x14ac:dyDescent="0.5">
      <c r="A264" s="1" t="s">
        <v>24</v>
      </c>
      <c r="B264">
        <v>1810</v>
      </c>
      <c r="C264">
        <v>12282</v>
      </c>
      <c r="D264" s="1" t="s">
        <v>25</v>
      </c>
      <c r="E264" s="1" t="s">
        <v>26</v>
      </c>
    </row>
    <row r="265" spans="1:5" x14ac:dyDescent="0.5">
      <c r="A265" s="1" t="s">
        <v>27</v>
      </c>
      <c r="B265">
        <v>2010</v>
      </c>
      <c r="C265">
        <v>6483802</v>
      </c>
      <c r="D265" s="1" t="s">
        <v>25</v>
      </c>
      <c r="E265" s="1" t="s">
        <v>26</v>
      </c>
    </row>
    <row r="266" spans="1:5" x14ac:dyDescent="0.5">
      <c r="A266" s="1" t="s">
        <v>27</v>
      </c>
      <c r="B266">
        <v>2000</v>
      </c>
      <c r="C266">
        <v>6080485</v>
      </c>
      <c r="D266" s="1" t="s">
        <v>25</v>
      </c>
      <c r="E266" s="1" t="s">
        <v>26</v>
      </c>
    </row>
    <row r="267" spans="1:5" x14ac:dyDescent="0.5">
      <c r="A267" s="1" t="s">
        <v>27</v>
      </c>
      <c r="B267">
        <v>1990</v>
      </c>
      <c r="C267">
        <v>5544159</v>
      </c>
      <c r="D267" s="1" t="s">
        <v>25</v>
      </c>
      <c r="E267" s="1" t="s">
        <v>26</v>
      </c>
    </row>
    <row r="268" spans="1:5" x14ac:dyDescent="0.5">
      <c r="A268" s="1" t="s">
        <v>27</v>
      </c>
      <c r="B268">
        <v>1980</v>
      </c>
      <c r="C268">
        <v>5490210</v>
      </c>
      <c r="D268" s="1" t="s">
        <v>25</v>
      </c>
      <c r="E268" s="1" t="s">
        <v>26</v>
      </c>
    </row>
    <row r="269" spans="1:5" x14ac:dyDescent="0.5">
      <c r="A269" s="1" t="s">
        <v>27</v>
      </c>
      <c r="B269">
        <v>1970</v>
      </c>
      <c r="C269">
        <v>5195392</v>
      </c>
      <c r="D269" s="1" t="s">
        <v>25</v>
      </c>
      <c r="E269" s="1" t="s">
        <v>26</v>
      </c>
    </row>
    <row r="270" spans="1:5" x14ac:dyDescent="0.5">
      <c r="A270" s="1" t="s">
        <v>27</v>
      </c>
      <c r="B270">
        <v>1960</v>
      </c>
      <c r="C270">
        <v>4662498</v>
      </c>
      <c r="D270" s="1" t="s">
        <v>25</v>
      </c>
      <c r="E270" s="1" t="s">
        <v>26</v>
      </c>
    </row>
    <row r="271" spans="1:5" x14ac:dyDescent="0.5">
      <c r="A271" s="1" t="s">
        <v>27</v>
      </c>
      <c r="B271">
        <v>1950</v>
      </c>
      <c r="C271">
        <v>3934224</v>
      </c>
      <c r="D271" s="1" t="s">
        <v>25</v>
      </c>
      <c r="E271" s="1" t="s">
        <v>26</v>
      </c>
    </row>
    <row r="272" spans="1:5" x14ac:dyDescent="0.5">
      <c r="A272" s="1" t="s">
        <v>27</v>
      </c>
      <c r="B272">
        <v>1940</v>
      </c>
      <c r="C272">
        <v>3427796</v>
      </c>
      <c r="D272" s="1" t="s">
        <v>25</v>
      </c>
      <c r="E272" s="1" t="s">
        <v>26</v>
      </c>
    </row>
    <row r="273" spans="1:5" x14ac:dyDescent="0.5">
      <c r="A273" s="1" t="s">
        <v>27</v>
      </c>
      <c r="B273">
        <v>1930</v>
      </c>
      <c r="C273">
        <v>3238503</v>
      </c>
      <c r="D273" s="1" t="s">
        <v>25</v>
      </c>
      <c r="E273" s="1" t="s">
        <v>26</v>
      </c>
    </row>
    <row r="274" spans="1:5" x14ac:dyDescent="0.5">
      <c r="A274" s="1" t="s">
        <v>27</v>
      </c>
      <c r="B274">
        <v>1920</v>
      </c>
      <c r="C274">
        <v>2930390</v>
      </c>
      <c r="D274" s="1" t="s">
        <v>25</v>
      </c>
      <c r="E274" s="1" t="s">
        <v>26</v>
      </c>
    </row>
    <row r="275" spans="1:5" x14ac:dyDescent="0.5">
      <c r="A275" s="1" t="s">
        <v>27</v>
      </c>
      <c r="B275">
        <v>1910</v>
      </c>
      <c r="C275">
        <v>2700876</v>
      </c>
      <c r="D275" s="1" t="s">
        <v>25</v>
      </c>
      <c r="E275" s="1" t="s">
        <v>26</v>
      </c>
    </row>
    <row r="276" spans="1:5" x14ac:dyDescent="0.5">
      <c r="A276" s="1" t="s">
        <v>27</v>
      </c>
      <c r="B276">
        <v>1900</v>
      </c>
      <c r="C276">
        <v>2516462</v>
      </c>
      <c r="D276" s="1" t="s">
        <v>25</v>
      </c>
      <c r="E276" s="1" t="s">
        <v>26</v>
      </c>
    </row>
    <row r="277" spans="1:5" x14ac:dyDescent="0.5">
      <c r="A277" s="1" t="s">
        <v>27</v>
      </c>
      <c r="B277">
        <v>1890</v>
      </c>
      <c r="C277">
        <v>2192404</v>
      </c>
      <c r="D277" s="1" t="s">
        <v>25</v>
      </c>
      <c r="E277" s="1" t="s">
        <v>26</v>
      </c>
    </row>
    <row r="278" spans="1:5" x14ac:dyDescent="0.5">
      <c r="A278" s="1" t="s">
        <v>27</v>
      </c>
      <c r="B278">
        <v>1880</v>
      </c>
      <c r="C278">
        <v>1978301</v>
      </c>
      <c r="D278" s="1" t="s">
        <v>25</v>
      </c>
      <c r="E278" s="1" t="s">
        <v>26</v>
      </c>
    </row>
    <row r="279" spans="1:5" x14ac:dyDescent="0.5">
      <c r="A279" s="1" t="s">
        <v>27</v>
      </c>
      <c r="B279">
        <v>1870</v>
      </c>
      <c r="C279">
        <v>1680637</v>
      </c>
      <c r="D279" s="1" t="s">
        <v>25</v>
      </c>
      <c r="E279" s="1" t="s">
        <v>26</v>
      </c>
    </row>
    <row r="280" spans="1:5" x14ac:dyDescent="0.5">
      <c r="A280" s="1" t="s">
        <v>27</v>
      </c>
      <c r="B280">
        <v>1860</v>
      </c>
      <c r="C280">
        <v>1350428</v>
      </c>
      <c r="D280" s="1" t="s">
        <v>25</v>
      </c>
      <c r="E280" s="1" t="s">
        <v>26</v>
      </c>
    </row>
    <row r="281" spans="1:5" x14ac:dyDescent="0.5">
      <c r="A281" s="1" t="s">
        <v>27</v>
      </c>
      <c r="B281">
        <v>1850</v>
      </c>
      <c r="C281">
        <v>988416</v>
      </c>
      <c r="D281" s="1" t="s">
        <v>25</v>
      </c>
      <c r="E281" s="1" t="s">
        <v>26</v>
      </c>
    </row>
    <row r="282" spans="1:5" x14ac:dyDescent="0.5">
      <c r="A282" s="1" t="s">
        <v>27</v>
      </c>
      <c r="B282">
        <v>1840</v>
      </c>
      <c r="C282">
        <v>685866</v>
      </c>
      <c r="D282" s="1" t="s">
        <v>25</v>
      </c>
      <c r="E282" s="1" t="s">
        <v>26</v>
      </c>
    </row>
    <row r="283" spans="1:5" x14ac:dyDescent="0.5">
      <c r="A283" s="1" t="s">
        <v>27</v>
      </c>
      <c r="B283">
        <v>1830</v>
      </c>
      <c r="C283">
        <v>343031</v>
      </c>
      <c r="D283" s="1" t="s">
        <v>25</v>
      </c>
      <c r="E283" s="1" t="s">
        <v>26</v>
      </c>
    </row>
    <row r="284" spans="1:5" x14ac:dyDescent="0.5">
      <c r="A284" s="1" t="s">
        <v>27</v>
      </c>
      <c r="B284">
        <v>1820</v>
      </c>
      <c r="C284">
        <v>147718</v>
      </c>
      <c r="D284" s="1" t="s">
        <v>25</v>
      </c>
      <c r="E284" s="1" t="s">
        <v>26</v>
      </c>
    </row>
    <row r="285" spans="1:5" x14ac:dyDescent="0.5">
      <c r="A285" s="1" t="s">
        <v>27</v>
      </c>
      <c r="B285">
        <v>1810</v>
      </c>
      <c r="C285">
        <v>24520</v>
      </c>
      <c r="D285" s="1" t="s">
        <v>25</v>
      </c>
      <c r="E285" s="1" t="s">
        <v>26</v>
      </c>
    </row>
    <row r="286" spans="1:5" x14ac:dyDescent="0.5">
      <c r="A286" s="1" t="s">
        <v>27</v>
      </c>
      <c r="B286">
        <v>1800</v>
      </c>
      <c r="C286">
        <v>5641</v>
      </c>
      <c r="D286" s="1" t="s">
        <v>25</v>
      </c>
      <c r="E286" s="1" t="s">
        <v>26</v>
      </c>
    </row>
    <row r="287" spans="1:5" x14ac:dyDescent="0.5">
      <c r="A287" s="1" t="s">
        <v>28</v>
      </c>
      <c r="B287">
        <v>2010</v>
      </c>
      <c r="C287">
        <v>3046355</v>
      </c>
      <c r="D287" s="1" t="s">
        <v>25</v>
      </c>
      <c r="E287" s="1" t="s">
        <v>29</v>
      </c>
    </row>
    <row r="288" spans="1:5" x14ac:dyDescent="0.5">
      <c r="A288" s="1" t="s">
        <v>28</v>
      </c>
      <c r="B288">
        <v>2000</v>
      </c>
      <c r="C288">
        <v>2926324</v>
      </c>
      <c r="D288" s="1" t="s">
        <v>25</v>
      </c>
      <c r="E288" s="1" t="s">
        <v>29</v>
      </c>
    </row>
    <row r="289" spans="1:5" x14ac:dyDescent="0.5">
      <c r="A289" s="1" t="s">
        <v>28</v>
      </c>
      <c r="B289">
        <v>1990</v>
      </c>
      <c r="C289">
        <v>2776831</v>
      </c>
      <c r="D289" s="1" t="s">
        <v>25</v>
      </c>
      <c r="E289" s="1" t="s">
        <v>29</v>
      </c>
    </row>
    <row r="290" spans="1:5" x14ac:dyDescent="0.5">
      <c r="A290" s="1" t="s">
        <v>28</v>
      </c>
      <c r="B290">
        <v>1980</v>
      </c>
      <c r="C290">
        <v>2913808</v>
      </c>
      <c r="D290" s="1" t="s">
        <v>25</v>
      </c>
      <c r="E290" s="1" t="s">
        <v>29</v>
      </c>
    </row>
    <row r="291" spans="1:5" x14ac:dyDescent="0.5">
      <c r="A291" s="1" t="s">
        <v>28</v>
      </c>
      <c r="B291">
        <v>1970</v>
      </c>
      <c r="C291">
        <v>2825368</v>
      </c>
      <c r="D291" s="1" t="s">
        <v>25</v>
      </c>
      <c r="E291" s="1" t="s">
        <v>29</v>
      </c>
    </row>
    <row r="292" spans="1:5" x14ac:dyDescent="0.5">
      <c r="A292" s="1" t="s">
        <v>28</v>
      </c>
      <c r="B292">
        <v>1960</v>
      </c>
      <c r="C292">
        <v>2757537</v>
      </c>
      <c r="D292" s="1" t="s">
        <v>25</v>
      </c>
      <c r="E292" s="1" t="s">
        <v>29</v>
      </c>
    </row>
    <row r="293" spans="1:5" x14ac:dyDescent="0.5">
      <c r="A293" s="1" t="s">
        <v>28</v>
      </c>
      <c r="B293">
        <v>1950</v>
      </c>
      <c r="C293">
        <v>2621073</v>
      </c>
      <c r="D293" s="1" t="s">
        <v>25</v>
      </c>
      <c r="E293" s="1" t="s">
        <v>29</v>
      </c>
    </row>
    <row r="294" spans="1:5" x14ac:dyDescent="0.5">
      <c r="A294" s="1" t="s">
        <v>28</v>
      </c>
      <c r="B294">
        <v>1940</v>
      </c>
      <c r="C294">
        <v>2538268</v>
      </c>
      <c r="D294" s="1" t="s">
        <v>25</v>
      </c>
      <c r="E294" s="1" t="s">
        <v>29</v>
      </c>
    </row>
    <row r="295" spans="1:5" x14ac:dyDescent="0.5">
      <c r="A295" s="1" t="s">
        <v>28</v>
      </c>
      <c r="B295">
        <v>1930</v>
      </c>
      <c r="C295">
        <v>2470939</v>
      </c>
      <c r="D295" s="1" t="s">
        <v>25</v>
      </c>
      <c r="E295" s="1" t="s">
        <v>29</v>
      </c>
    </row>
    <row r="296" spans="1:5" x14ac:dyDescent="0.5">
      <c r="A296" s="1" t="s">
        <v>28</v>
      </c>
      <c r="B296">
        <v>1920</v>
      </c>
      <c r="C296">
        <v>2404021</v>
      </c>
      <c r="D296" s="1" t="s">
        <v>25</v>
      </c>
      <c r="E296" s="1" t="s">
        <v>29</v>
      </c>
    </row>
    <row r="297" spans="1:5" x14ac:dyDescent="0.5">
      <c r="A297" s="1" t="s">
        <v>28</v>
      </c>
      <c r="B297">
        <v>1910</v>
      </c>
      <c r="C297">
        <v>2224771</v>
      </c>
      <c r="D297" s="1" t="s">
        <v>25</v>
      </c>
      <c r="E297" s="1" t="s">
        <v>29</v>
      </c>
    </row>
    <row r="298" spans="1:5" x14ac:dyDescent="0.5">
      <c r="A298" s="1" t="s">
        <v>28</v>
      </c>
      <c r="B298">
        <v>1900</v>
      </c>
      <c r="C298">
        <v>2231853</v>
      </c>
      <c r="D298" s="1" t="s">
        <v>25</v>
      </c>
      <c r="E298" s="1" t="s">
        <v>29</v>
      </c>
    </row>
    <row r="299" spans="1:5" x14ac:dyDescent="0.5">
      <c r="A299" s="1" t="s">
        <v>28</v>
      </c>
      <c r="B299">
        <v>1890</v>
      </c>
      <c r="C299">
        <v>1912297</v>
      </c>
      <c r="D299" s="1" t="s">
        <v>25</v>
      </c>
      <c r="E299" s="1" t="s">
        <v>29</v>
      </c>
    </row>
    <row r="300" spans="1:5" x14ac:dyDescent="0.5">
      <c r="A300" s="1" t="s">
        <v>28</v>
      </c>
      <c r="B300">
        <v>1880</v>
      </c>
      <c r="C300">
        <v>1624615</v>
      </c>
      <c r="D300" s="1" t="s">
        <v>25</v>
      </c>
      <c r="E300" s="1" t="s">
        <v>29</v>
      </c>
    </row>
    <row r="301" spans="1:5" x14ac:dyDescent="0.5">
      <c r="A301" s="1" t="s">
        <v>28</v>
      </c>
      <c r="B301">
        <v>1870</v>
      </c>
      <c r="C301">
        <v>1194020</v>
      </c>
      <c r="D301" s="1" t="s">
        <v>25</v>
      </c>
      <c r="E301" s="1" t="s">
        <v>29</v>
      </c>
    </row>
    <row r="302" spans="1:5" x14ac:dyDescent="0.5">
      <c r="A302" s="1" t="s">
        <v>28</v>
      </c>
      <c r="B302">
        <v>1860</v>
      </c>
      <c r="C302">
        <v>674913</v>
      </c>
      <c r="D302" s="1" t="s">
        <v>25</v>
      </c>
      <c r="E302" s="1" t="s">
        <v>29</v>
      </c>
    </row>
    <row r="303" spans="1:5" x14ac:dyDescent="0.5">
      <c r="A303" s="1" t="s">
        <v>28</v>
      </c>
      <c r="B303">
        <v>1850</v>
      </c>
      <c r="C303">
        <v>192214</v>
      </c>
      <c r="D303" s="1" t="s">
        <v>25</v>
      </c>
      <c r="E303" s="1" t="s">
        <v>29</v>
      </c>
    </row>
    <row r="304" spans="1:5" x14ac:dyDescent="0.5">
      <c r="A304" s="1" t="s">
        <v>28</v>
      </c>
      <c r="B304">
        <v>1840</v>
      </c>
      <c r="C304">
        <v>43112</v>
      </c>
      <c r="D304" s="1" t="s">
        <v>25</v>
      </c>
      <c r="E304" s="1" t="s">
        <v>29</v>
      </c>
    </row>
    <row r="305" spans="1:5" x14ac:dyDescent="0.5">
      <c r="A305" s="1" t="s">
        <v>30</v>
      </c>
      <c r="B305">
        <v>2010</v>
      </c>
      <c r="C305">
        <v>2853118</v>
      </c>
      <c r="D305" s="1" t="s">
        <v>25</v>
      </c>
      <c r="E305" s="1" t="s">
        <v>29</v>
      </c>
    </row>
    <row r="306" spans="1:5" x14ac:dyDescent="0.5">
      <c r="A306" s="1" t="s">
        <v>30</v>
      </c>
      <c r="B306">
        <v>2000</v>
      </c>
      <c r="C306">
        <v>2688418</v>
      </c>
      <c r="D306" s="1" t="s">
        <v>25</v>
      </c>
      <c r="E306" s="1" t="s">
        <v>29</v>
      </c>
    </row>
    <row r="307" spans="1:5" x14ac:dyDescent="0.5">
      <c r="A307" s="1" t="s">
        <v>30</v>
      </c>
      <c r="B307">
        <v>1990</v>
      </c>
      <c r="C307">
        <v>2477574</v>
      </c>
      <c r="D307" s="1" t="s">
        <v>25</v>
      </c>
      <c r="E307" s="1" t="s">
        <v>29</v>
      </c>
    </row>
    <row r="308" spans="1:5" x14ac:dyDescent="0.5">
      <c r="A308" s="1" t="s">
        <v>30</v>
      </c>
      <c r="B308">
        <v>1980</v>
      </c>
      <c r="C308">
        <v>2364236</v>
      </c>
      <c r="D308" s="1" t="s">
        <v>25</v>
      </c>
      <c r="E308" s="1" t="s">
        <v>29</v>
      </c>
    </row>
    <row r="309" spans="1:5" x14ac:dyDescent="0.5">
      <c r="A309" s="1" t="s">
        <v>30</v>
      </c>
      <c r="B309">
        <v>1970</v>
      </c>
      <c r="C309">
        <v>2249071</v>
      </c>
      <c r="D309" s="1" t="s">
        <v>25</v>
      </c>
      <c r="E309" s="1" t="s">
        <v>29</v>
      </c>
    </row>
    <row r="310" spans="1:5" x14ac:dyDescent="0.5">
      <c r="A310" s="1" t="s">
        <v>30</v>
      </c>
      <c r="B310">
        <v>1960</v>
      </c>
      <c r="C310">
        <v>2178611</v>
      </c>
      <c r="D310" s="1" t="s">
        <v>25</v>
      </c>
      <c r="E310" s="1" t="s">
        <v>29</v>
      </c>
    </row>
    <row r="311" spans="1:5" x14ac:dyDescent="0.5">
      <c r="A311" s="1" t="s">
        <v>30</v>
      </c>
      <c r="B311">
        <v>1950</v>
      </c>
      <c r="C311">
        <v>1905299</v>
      </c>
      <c r="D311" s="1" t="s">
        <v>25</v>
      </c>
      <c r="E311" s="1" t="s">
        <v>29</v>
      </c>
    </row>
    <row r="312" spans="1:5" x14ac:dyDescent="0.5">
      <c r="A312" s="1" t="s">
        <v>30</v>
      </c>
      <c r="B312">
        <v>1940</v>
      </c>
      <c r="C312">
        <v>1801028</v>
      </c>
      <c r="D312" s="1" t="s">
        <v>25</v>
      </c>
      <c r="E312" s="1" t="s">
        <v>29</v>
      </c>
    </row>
    <row r="313" spans="1:5" x14ac:dyDescent="0.5">
      <c r="A313" s="1" t="s">
        <v>30</v>
      </c>
      <c r="B313">
        <v>1930</v>
      </c>
      <c r="C313">
        <v>1880999</v>
      </c>
      <c r="D313" s="1" t="s">
        <v>25</v>
      </c>
      <c r="E313" s="1" t="s">
        <v>29</v>
      </c>
    </row>
    <row r="314" spans="1:5" x14ac:dyDescent="0.5">
      <c r="A314" s="1" t="s">
        <v>30</v>
      </c>
      <c r="B314">
        <v>1920</v>
      </c>
      <c r="C314">
        <v>1769257</v>
      </c>
      <c r="D314" s="1" t="s">
        <v>25</v>
      </c>
      <c r="E314" s="1" t="s">
        <v>29</v>
      </c>
    </row>
    <row r="315" spans="1:5" x14ac:dyDescent="0.5">
      <c r="A315" s="1" t="s">
        <v>30</v>
      </c>
      <c r="B315">
        <v>1910</v>
      </c>
      <c r="C315">
        <v>1690949</v>
      </c>
      <c r="D315" s="1" t="s">
        <v>25</v>
      </c>
      <c r="E315" s="1" t="s">
        <v>29</v>
      </c>
    </row>
    <row r="316" spans="1:5" x14ac:dyDescent="0.5">
      <c r="A316" s="1" t="s">
        <v>30</v>
      </c>
      <c r="B316">
        <v>1900</v>
      </c>
      <c r="C316">
        <v>1470495</v>
      </c>
      <c r="D316" s="1" t="s">
        <v>25</v>
      </c>
      <c r="E316" s="1" t="s">
        <v>29</v>
      </c>
    </row>
    <row r="317" spans="1:5" x14ac:dyDescent="0.5">
      <c r="A317" s="1" t="s">
        <v>30</v>
      </c>
      <c r="B317">
        <v>1890</v>
      </c>
      <c r="C317">
        <v>1428108</v>
      </c>
      <c r="D317" s="1" t="s">
        <v>25</v>
      </c>
      <c r="E317" s="1" t="s">
        <v>29</v>
      </c>
    </row>
    <row r="318" spans="1:5" x14ac:dyDescent="0.5">
      <c r="A318" s="1" t="s">
        <v>30</v>
      </c>
      <c r="B318">
        <v>1880</v>
      </c>
      <c r="C318">
        <v>996096</v>
      </c>
      <c r="D318" s="1" t="s">
        <v>25</v>
      </c>
      <c r="E318" s="1" t="s">
        <v>29</v>
      </c>
    </row>
    <row r="319" spans="1:5" x14ac:dyDescent="0.5">
      <c r="A319" s="1" t="s">
        <v>30</v>
      </c>
      <c r="B319">
        <v>1870</v>
      </c>
      <c r="C319">
        <v>364399</v>
      </c>
      <c r="D319" s="1" t="s">
        <v>25</v>
      </c>
      <c r="E319" s="1" t="s">
        <v>29</v>
      </c>
    </row>
    <row r="320" spans="1:5" x14ac:dyDescent="0.5">
      <c r="A320" s="1" t="s">
        <v>30</v>
      </c>
      <c r="B320">
        <v>1860</v>
      </c>
      <c r="C320">
        <v>107206</v>
      </c>
      <c r="D320" s="1" t="s">
        <v>25</v>
      </c>
      <c r="E320" s="1" t="s">
        <v>29</v>
      </c>
    </row>
    <row r="321" spans="1:5" x14ac:dyDescent="0.5">
      <c r="A321" s="1" t="s">
        <v>31</v>
      </c>
      <c r="B321">
        <v>2010</v>
      </c>
      <c r="C321">
        <v>4339367</v>
      </c>
      <c r="D321" s="1" t="s">
        <v>4</v>
      </c>
      <c r="E321" s="1" t="s">
        <v>5</v>
      </c>
    </row>
    <row r="322" spans="1:5" x14ac:dyDescent="0.5">
      <c r="A322" s="1" t="s">
        <v>31</v>
      </c>
      <c r="B322">
        <v>2000</v>
      </c>
      <c r="C322">
        <v>4041769</v>
      </c>
      <c r="D322" s="1" t="s">
        <v>4</v>
      </c>
      <c r="E322" s="1" t="s">
        <v>5</v>
      </c>
    </row>
    <row r="323" spans="1:5" x14ac:dyDescent="0.5">
      <c r="A323" s="1" t="s">
        <v>31</v>
      </c>
      <c r="B323">
        <v>1990</v>
      </c>
      <c r="C323">
        <v>3685296</v>
      </c>
      <c r="D323" s="1" t="s">
        <v>4</v>
      </c>
      <c r="E323" s="1" t="s">
        <v>5</v>
      </c>
    </row>
    <row r="324" spans="1:5" x14ac:dyDescent="0.5">
      <c r="A324" s="1" t="s">
        <v>31</v>
      </c>
      <c r="B324">
        <v>1980</v>
      </c>
      <c r="C324">
        <v>3660324</v>
      </c>
      <c r="D324" s="1" t="s">
        <v>4</v>
      </c>
      <c r="E324" s="1" t="s">
        <v>5</v>
      </c>
    </row>
    <row r="325" spans="1:5" x14ac:dyDescent="0.5">
      <c r="A325" s="1" t="s">
        <v>31</v>
      </c>
      <c r="B325">
        <v>1970</v>
      </c>
      <c r="C325">
        <v>3220711</v>
      </c>
      <c r="D325" s="1" t="s">
        <v>4</v>
      </c>
      <c r="E325" s="1" t="s">
        <v>5</v>
      </c>
    </row>
    <row r="326" spans="1:5" x14ac:dyDescent="0.5">
      <c r="A326" s="1" t="s">
        <v>31</v>
      </c>
      <c r="B326">
        <v>1960</v>
      </c>
      <c r="C326">
        <v>3038156</v>
      </c>
      <c r="D326" s="1" t="s">
        <v>4</v>
      </c>
      <c r="E326" s="1" t="s">
        <v>5</v>
      </c>
    </row>
    <row r="327" spans="1:5" x14ac:dyDescent="0.5">
      <c r="A327" s="1" t="s">
        <v>31</v>
      </c>
      <c r="B327">
        <v>1950</v>
      </c>
      <c r="C327">
        <v>2944806</v>
      </c>
      <c r="D327" s="1" t="s">
        <v>4</v>
      </c>
      <c r="E327" s="1" t="s">
        <v>5</v>
      </c>
    </row>
    <row r="328" spans="1:5" x14ac:dyDescent="0.5">
      <c r="A328" s="1" t="s">
        <v>31</v>
      </c>
      <c r="B328">
        <v>1940</v>
      </c>
      <c r="C328">
        <v>2845627</v>
      </c>
      <c r="D328" s="1" t="s">
        <v>4</v>
      </c>
      <c r="E328" s="1" t="s">
        <v>5</v>
      </c>
    </row>
    <row r="329" spans="1:5" x14ac:dyDescent="0.5">
      <c r="A329" s="1" t="s">
        <v>31</v>
      </c>
      <c r="B329">
        <v>1930</v>
      </c>
      <c r="C329">
        <v>2614589</v>
      </c>
      <c r="D329" s="1" t="s">
        <v>4</v>
      </c>
      <c r="E329" s="1" t="s">
        <v>5</v>
      </c>
    </row>
    <row r="330" spans="1:5" x14ac:dyDescent="0.5">
      <c r="A330" s="1" t="s">
        <v>31</v>
      </c>
      <c r="B330">
        <v>1920</v>
      </c>
      <c r="C330">
        <v>2416630</v>
      </c>
      <c r="D330" s="1" t="s">
        <v>4</v>
      </c>
      <c r="E330" s="1" t="s">
        <v>5</v>
      </c>
    </row>
    <row r="331" spans="1:5" x14ac:dyDescent="0.5">
      <c r="A331" s="1" t="s">
        <v>31</v>
      </c>
      <c r="B331">
        <v>1910</v>
      </c>
      <c r="C331">
        <v>2289905</v>
      </c>
      <c r="D331" s="1" t="s">
        <v>4</v>
      </c>
      <c r="E331" s="1" t="s">
        <v>5</v>
      </c>
    </row>
    <row r="332" spans="1:5" x14ac:dyDescent="0.5">
      <c r="A332" s="1" t="s">
        <v>31</v>
      </c>
      <c r="B332">
        <v>1900</v>
      </c>
      <c r="C332">
        <v>2147174</v>
      </c>
      <c r="D332" s="1" t="s">
        <v>4</v>
      </c>
      <c r="E332" s="1" t="s">
        <v>5</v>
      </c>
    </row>
    <row r="333" spans="1:5" x14ac:dyDescent="0.5">
      <c r="A333" s="1" t="s">
        <v>31</v>
      </c>
      <c r="B333">
        <v>1890</v>
      </c>
      <c r="C333">
        <v>1858635</v>
      </c>
      <c r="D333" s="1" t="s">
        <v>4</v>
      </c>
      <c r="E333" s="1" t="s">
        <v>5</v>
      </c>
    </row>
    <row r="334" spans="1:5" x14ac:dyDescent="0.5">
      <c r="A334" s="1" t="s">
        <v>31</v>
      </c>
      <c r="B334">
        <v>1880</v>
      </c>
      <c r="C334">
        <v>1648690</v>
      </c>
      <c r="D334" s="1" t="s">
        <v>4</v>
      </c>
      <c r="E334" s="1" t="s">
        <v>5</v>
      </c>
    </row>
    <row r="335" spans="1:5" x14ac:dyDescent="0.5">
      <c r="A335" s="1" t="s">
        <v>31</v>
      </c>
      <c r="B335">
        <v>1870</v>
      </c>
      <c r="C335">
        <v>1321011</v>
      </c>
      <c r="D335" s="1" t="s">
        <v>4</v>
      </c>
      <c r="E335" s="1" t="s">
        <v>5</v>
      </c>
    </row>
    <row r="336" spans="1:5" x14ac:dyDescent="0.5">
      <c r="A336" s="1" t="s">
        <v>31</v>
      </c>
      <c r="B336">
        <v>1860</v>
      </c>
      <c r="C336">
        <v>1155684</v>
      </c>
      <c r="D336" s="1" t="s">
        <v>4</v>
      </c>
      <c r="E336" s="1" t="s">
        <v>5</v>
      </c>
    </row>
    <row r="337" spans="1:5" x14ac:dyDescent="0.5">
      <c r="A337" s="1" t="s">
        <v>31</v>
      </c>
      <c r="B337">
        <v>1850</v>
      </c>
      <c r="C337">
        <v>982405</v>
      </c>
      <c r="D337" s="1" t="s">
        <v>4</v>
      </c>
      <c r="E337" s="1" t="s">
        <v>5</v>
      </c>
    </row>
    <row r="338" spans="1:5" x14ac:dyDescent="0.5">
      <c r="A338" s="1" t="s">
        <v>31</v>
      </c>
      <c r="B338">
        <v>1840</v>
      </c>
      <c r="C338">
        <v>779828</v>
      </c>
      <c r="D338" s="1" t="s">
        <v>4</v>
      </c>
      <c r="E338" s="1" t="s">
        <v>5</v>
      </c>
    </row>
    <row r="339" spans="1:5" x14ac:dyDescent="0.5">
      <c r="A339" s="1" t="s">
        <v>31</v>
      </c>
      <c r="B339">
        <v>1830</v>
      </c>
      <c r="C339">
        <v>687917</v>
      </c>
      <c r="D339" s="1" t="s">
        <v>4</v>
      </c>
      <c r="E339" s="1" t="s">
        <v>5</v>
      </c>
    </row>
    <row r="340" spans="1:5" x14ac:dyDescent="0.5">
      <c r="A340" s="1" t="s">
        <v>31</v>
      </c>
      <c r="B340">
        <v>1820</v>
      </c>
      <c r="C340">
        <v>564317</v>
      </c>
      <c r="D340" s="1" t="s">
        <v>4</v>
      </c>
      <c r="E340" s="1" t="s">
        <v>5</v>
      </c>
    </row>
    <row r="341" spans="1:5" x14ac:dyDescent="0.5">
      <c r="A341" s="1" t="s">
        <v>31</v>
      </c>
      <c r="B341">
        <v>1810</v>
      </c>
      <c r="C341">
        <v>406511</v>
      </c>
      <c r="D341" s="1" t="s">
        <v>4</v>
      </c>
      <c r="E341" s="1" t="s">
        <v>5</v>
      </c>
    </row>
    <row r="342" spans="1:5" x14ac:dyDescent="0.5">
      <c r="A342" s="1" t="s">
        <v>31</v>
      </c>
      <c r="B342">
        <v>1800</v>
      </c>
      <c r="C342">
        <v>220955</v>
      </c>
      <c r="D342" s="1" t="s">
        <v>4</v>
      </c>
      <c r="E342" s="1" t="s">
        <v>5</v>
      </c>
    </row>
    <row r="343" spans="1:5" x14ac:dyDescent="0.5">
      <c r="A343" s="1" t="s">
        <v>31</v>
      </c>
      <c r="B343">
        <v>1790</v>
      </c>
      <c r="C343">
        <v>73677</v>
      </c>
      <c r="D343" s="1" t="s">
        <v>4</v>
      </c>
      <c r="E343" s="1" t="s">
        <v>5</v>
      </c>
    </row>
    <row r="344" spans="1:5" x14ac:dyDescent="0.5">
      <c r="A344" s="1" t="s">
        <v>32</v>
      </c>
      <c r="B344">
        <v>2010</v>
      </c>
      <c r="C344">
        <v>4533372</v>
      </c>
      <c r="D344" s="1" t="s">
        <v>4</v>
      </c>
      <c r="E344" s="1" t="s">
        <v>12</v>
      </c>
    </row>
    <row r="345" spans="1:5" x14ac:dyDescent="0.5">
      <c r="A345" s="1" t="s">
        <v>32</v>
      </c>
      <c r="B345">
        <v>2000</v>
      </c>
      <c r="C345">
        <v>4468976</v>
      </c>
      <c r="D345" s="1" t="s">
        <v>4</v>
      </c>
      <c r="E345" s="1" t="s">
        <v>12</v>
      </c>
    </row>
    <row r="346" spans="1:5" x14ac:dyDescent="0.5">
      <c r="A346" s="1" t="s">
        <v>32</v>
      </c>
      <c r="B346">
        <v>1990</v>
      </c>
      <c r="C346">
        <v>4219973</v>
      </c>
      <c r="D346" s="1" t="s">
        <v>4</v>
      </c>
      <c r="E346" s="1" t="s">
        <v>12</v>
      </c>
    </row>
    <row r="347" spans="1:5" x14ac:dyDescent="0.5">
      <c r="A347" s="1" t="s">
        <v>32</v>
      </c>
      <c r="B347">
        <v>1980</v>
      </c>
      <c r="C347">
        <v>4206116</v>
      </c>
      <c r="D347" s="1" t="s">
        <v>4</v>
      </c>
      <c r="E347" s="1" t="s">
        <v>12</v>
      </c>
    </row>
    <row r="348" spans="1:5" x14ac:dyDescent="0.5">
      <c r="A348" s="1" t="s">
        <v>32</v>
      </c>
      <c r="B348">
        <v>1970</v>
      </c>
      <c r="C348">
        <v>3644637</v>
      </c>
      <c r="D348" s="1" t="s">
        <v>4</v>
      </c>
      <c r="E348" s="1" t="s">
        <v>12</v>
      </c>
    </row>
    <row r="349" spans="1:5" x14ac:dyDescent="0.5">
      <c r="A349" s="1" t="s">
        <v>32</v>
      </c>
      <c r="B349">
        <v>1960</v>
      </c>
      <c r="C349">
        <v>3257022</v>
      </c>
      <c r="D349" s="1" t="s">
        <v>4</v>
      </c>
      <c r="E349" s="1" t="s">
        <v>12</v>
      </c>
    </row>
    <row r="350" spans="1:5" x14ac:dyDescent="0.5">
      <c r="A350" s="1" t="s">
        <v>32</v>
      </c>
      <c r="B350">
        <v>1950</v>
      </c>
      <c r="C350">
        <v>2683516</v>
      </c>
      <c r="D350" s="1" t="s">
        <v>4</v>
      </c>
      <c r="E350" s="1" t="s">
        <v>12</v>
      </c>
    </row>
    <row r="351" spans="1:5" x14ac:dyDescent="0.5">
      <c r="A351" s="1" t="s">
        <v>32</v>
      </c>
      <c r="B351">
        <v>1940</v>
      </c>
      <c r="C351">
        <v>2363880</v>
      </c>
      <c r="D351" s="1" t="s">
        <v>4</v>
      </c>
      <c r="E351" s="1" t="s">
        <v>12</v>
      </c>
    </row>
    <row r="352" spans="1:5" x14ac:dyDescent="0.5">
      <c r="A352" s="1" t="s">
        <v>32</v>
      </c>
      <c r="B352">
        <v>1930</v>
      </c>
      <c r="C352">
        <v>2101593</v>
      </c>
      <c r="D352" s="1" t="s">
        <v>4</v>
      </c>
      <c r="E352" s="1" t="s">
        <v>12</v>
      </c>
    </row>
    <row r="353" spans="1:5" x14ac:dyDescent="0.5">
      <c r="A353" s="1" t="s">
        <v>32</v>
      </c>
      <c r="B353">
        <v>1920</v>
      </c>
      <c r="C353">
        <v>1798509</v>
      </c>
      <c r="D353" s="1" t="s">
        <v>4</v>
      </c>
      <c r="E353" s="1" t="s">
        <v>12</v>
      </c>
    </row>
    <row r="354" spans="1:5" x14ac:dyDescent="0.5">
      <c r="A354" s="1" t="s">
        <v>32</v>
      </c>
      <c r="B354">
        <v>1910</v>
      </c>
      <c r="C354">
        <v>1656388</v>
      </c>
      <c r="D354" s="1" t="s">
        <v>4</v>
      </c>
      <c r="E354" s="1" t="s">
        <v>12</v>
      </c>
    </row>
    <row r="355" spans="1:5" x14ac:dyDescent="0.5">
      <c r="A355" s="1" t="s">
        <v>32</v>
      </c>
      <c r="B355">
        <v>1900</v>
      </c>
      <c r="C355">
        <v>1381625</v>
      </c>
      <c r="D355" s="1" t="s">
        <v>4</v>
      </c>
      <c r="E355" s="1" t="s">
        <v>12</v>
      </c>
    </row>
    <row r="356" spans="1:5" x14ac:dyDescent="0.5">
      <c r="A356" s="1" t="s">
        <v>32</v>
      </c>
      <c r="B356">
        <v>1890</v>
      </c>
      <c r="C356">
        <v>1118588</v>
      </c>
      <c r="D356" s="1" t="s">
        <v>4</v>
      </c>
      <c r="E356" s="1" t="s">
        <v>12</v>
      </c>
    </row>
    <row r="357" spans="1:5" x14ac:dyDescent="0.5">
      <c r="A357" s="1" t="s">
        <v>32</v>
      </c>
      <c r="B357">
        <v>1880</v>
      </c>
      <c r="C357">
        <v>939946</v>
      </c>
      <c r="D357" s="1" t="s">
        <v>4</v>
      </c>
      <c r="E357" s="1" t="s">
        <v>12</v>
      </c>
    </row>
    <row r="358" spans="1:5" x14ac:dyDescent="0.5">
      <c r="A358" s="1" t="s">
        <v>32</v>
      </c>
      <c r="B358">
        <v>1870</v>
      </c>
      <c r="C358">
        <v>726915</v>
      </c>
      <c r="D358" s="1" t="s">
        <v>4</v>
      </c>
      <c r="E358" s="1" t="s">
        <v>12</v>
      </c>
    </row>
    <row r="359" spans="1:5" x14ac:dyDescent="0.5">
      <c r="A359" s="1" t="s">
        <v>32</v>
      </c>
      <c r="B359">
        <v>1860</v>
      </c>
      <c r="C359">
        <v>708002</v>
      </c>
      <c r="D359" s="1" t="s">
        <v>4</v>
      </c>
      <c r="E359" s="1" t="s">
        <v>12</v>
      </c>
    </row>
    <row r="360" spans="1:5" x14ac:dyDescent="0.5">
      <c r="A360" s="1" t="s">
        <v>32</v>
      </c>
      <c r="B360">
        <v>1850</v>
      </c>
      <c r="C360">
        <v>517762</v>
      </c>
      <c r="D360" s="1" t="s">
        <v>4</v>
      </c>
      <c r="E360" s="1" t="s">
        <v>12</v>
      </c>
    </row>
    <row r="361" spans="1:5" x14ac:dyDescent="0.5">
      <c r="A361" s="1" t="s">
        <v>32</v>
      </c>
      <c r="B361">
        <v>1840</v>
      </c>
      <c r="C361">
        <v>352411</v>
      </c>
      <c r="D361" s="1" t="s">
        <v>4</v>
      </c>
      <c r="E361" s="1" t="s">
        <v>12</v>
      </c>
    </row>
    <row r="362" spans="1:5" x14ac:dyDescent="0.5">
      <c r="A362" s="1" t="s">
        <v>32</v>
      </c>
      <c r="B362">
        <v>1830</v>
      </c>
      <c r="C362">
        <v>215739</v>
      </c>
      <c r="D362" s="1" t="s">
        <v>4</v>
      </c>
      <c r="E362" s="1" t="s">
        <v>12</v>
      </c>
    </row>
    <row r="363" spans="1:5" x14ac:dyDescent="0.5">
      <c r="A363" s="1" t="s">
        <v>32</v>
      </c>
      <c r="B363">
        <v>1820</v>
      </c>
      <c r="C363">
        <v>153407</v>
      </c>
      <c r="D363" s="1" t="s">
        <v>4</v>
      </c>
      <c r="E363" s="1" t="s">
        <v>12</v>
      </c>
    </row>
    <row r="364" spans="1:5" x14ac:dyDescent="0.5">
      <c r="A364" s="1" t="s">
        <v>32</v>
      </c>
      <c r="B364">
        <v>1810</v>
      </c>
      <c r="C364">
        <v>76556</v>
      </c>
      <c r="D364" s="1" t="s">
        <v>4</v>
      </c>
      <c r="E364" s="1" t="s">
        <v>12</v>
      </c>
    </row>
    <row r="365" spans="1:5" x14ac:dyDescent="0.5">
      <c r="A365" s="1" t="s">
        <v>33</v>
      </c>
      <c r="B365">
        <v>2010</v>
      </c>
      <c r="C365">
        <v>1328361</v>
      </c>
      <c r="D365" s="1" t="s">
        <v>16</v>
      </c>
      <c r="E365" s="1" t="s">
        <v>17</v>
      </c>
    </row>
    <row r="366" spans="1:5" x14ac:dyDescent="0.5">
      <c r="A366" s="1" t="s">
        <v>33</v>
      </c>
      <c r="B366">
        <v>2000</v>
      </c>
      <c r="C366">
        <v>1274923</v>
      </c>
      <c r="D366" s="1" t="s">
        <v>16</v>
      </c>
      <c r="E366" s="1" t="s">
        <v>17</v>
      </c>
    </row>
    <row r="367" spans="1:5" x14ac:dyDescent="0.5">
      <c r="A367" s="1" t="s">
        <v>33</v>
      </c>
      <c r="B367">
        <v>1990</v>
      </c>
      <c r="C367">
        <v>1227928</v>
      </c>
      <c r="D367" s="1" t="s">
        <v>16</v>
      </c>
      <c r="E367" s="1" t="s">
        <v>17</v>
      </c>
    </row>
    <row r="368" spans="1:5" x14ac:dyDescent="0.5">
      <c r="A368" s="1" t="s">
        <v>33</v>
      </c>
      <c r="B368">
        <v>1980</v>
      </c>
      <c r="C368">
        <v>1125043</v>
      </c>
      <c r="D368" s="1" t="s">
        <v>16</v>
      </c>
      <c r="E368" s="1" t="s">
        <v>17</v>
      </c>
    </row>
    <row r="369" spans="1:5" x14ac:dyDescent="0.5">
      <c r="A369" s="1" t="s">
        <v>33</v>
      </c>
      <c r="B369">
        <v>1970</v>
      </c>
      <c r="C369">
        <v>993722</v>
      </c>
      <c r="D369" s="1" t="s">
        <v>16</v>
      </c>
      <c r="E369" s="1" t="s">
        <v>17</v>
      </c>
    </row>
    <row r="370" spans="1:5" x14ac:dyDescent="0.5">
      <c r="A370" s="1" t="s">
        <v>33</v>
      </c>
      <c r="B370">
        <v>1960</v>
      </c>
      <c r="C370">
        <v>969265</v>
      </c>
      <c r="D370" s="1" t="s">
        <v>16</v>
      </c>
      <c r="E370" s="1" t="s">
        <v>17</v>
      </c>
    </row>
    <row r="371" spans="1:5" x14ac:dyDescent="0.5">
      <c r="A371" s="1" t="s">
        <v>33</v>
      </c>
      <c r="B371">
        <v>1950</v>
      </c>
      <c r="C371">
        <v>913774</v>
      </c>
      <c r="D371" s="1" t="s">
        <v>16</v>
      </c>
      <c r="E371" s="1" t="s">
        <v>17</v>
      </c>
    </row>
    <row r="372" spans="1:5" x14ac:dyDescent="0.5">
      <c r="A372" s="1" t="s">
        <v>33</v>
      </c>
      <c r="B372">
        <v>1940</v>
      </c>
      <c r="C372">
        <v>847226</v>
      </c>
      <c r="D372" s="1" t="s">
        <v>16</v>
      </c>
      <c r="E372" s="1" t="s">
        <v>17</v>
      </c>
    </row>
    <row r="373" spans="1:5" x14ac:dyDescent="0.5">
      <c r="A373" s="1" t="s">
        <v>33</v>
      </c>
      <c r="B373">
        <v>1930</v>
      </c>
      <c r="C373">
        <v>797423</v>
      </c>
      <c r="D373" s="1" t="s">
        <v>16</v>
      </c>
      <c r="E373" s="1" t="s">
        <v>17</v>
      </c>
    </row>
    <row r="374" spans="1:5" x14ac:dyDescent="0.5">
      <c r="A374" s="1" t="s">
        <v>33</v>
      </c>
      <c r="B374">
        <v>1920</v>
      </c>
      <c r="C374">
        <v>768014</v>
      </c>
      <c r="D374" s="1" t="s">
        <v>16</v>
      </c>
      <c r="E374" s="1" t="s">
        <v>17</v>
      </c>
    </row>
    <row r="375" spans="1:5" x14ac:dyDescent="0.5">
      <c r="A375" s="1" t="s">
        <v>33</v>
      </c>
      <c r="B375">
        <v>1910</v>
      </c>
      <c r="C375">
        <v>742371</v>
      </c>
      <c r="D375" s="1" t="s">
        <v>16</v>
      </c>
      <c r="E375" s="1" t="s">
        <v>17</v>
      </c>
    </row>
    <row r="376" spans="1:5" x14ac:dyDescent="0.5">
      <c r="A376" s="1" t="s">
        <v>33</v>
      </c>
      <c r="B376">
        <v>1900</v>
      </c>
      <c r="C376">
        <v>694466</v>
      </c>
      <c r="D376" s="1" t="s">
        <v>16</v>
      </c>
      <c r="E376" s="1" t="s">
        <v>17</v>
      </c>
    </row>
    <row r="377" spans="1:5" x14ac:dyDescent="0.5">
      <c r="A377" s="1" t="s">
        <v>33</v>
      </c>
      <c r="B377">
        <v>1890</v>
      </c>
      <c r="C377">
        <v>661086</v>
      </c>
      <c r="D377" s="1" t="s">
        <v>16</v>
      </c>
      <c r="E377" s="1" t="s">
        <v>17</v>
      </c>
    </row>
    <row r="378" spans="1:5" x14ac:dyDescent="0.5">
      <c r="A378" s="1" t="s">
        <v>33</v>
      </c>
      <c r="B378">
        <v>1880</v>
      </c>
      <c r="C378">
        <v>648936</v>
      </c>
      <c r="D378" s="1" t="s">
        <v>16</v>
      </c>
      <c r="E378" s="1" t="s">
        <v>17</v>
      </c>
    </row>
    <row r="379" spans="1:5" x14ac:dyDescent="0.5">
      <c r="A379" s="1" t="s">
        <v>33</v>
      </c>
      <c r="B379">
        <v>1870</v>
      </c>
      <c r="C379">
        <v>626915</v>
      </c>
      <c r="D379" s="1" t="s">
        <v>16</v>
      </c>
      <c r="E379" s="1" t="s">
        <v>17</v>
      </c>
    </row>
    <row r="380" spans="1:5" x14ac:dyDescent="0.5">
      <c r="A380" s="1" t="s">
        <v>33</v>
      </c>
      <c r="B380">
        <v>1860</v>
      </c>
      <c r="C380">
        <v>628279</v>
      </c>
      <c r="D380" s="1" t="s">
        <v>16</v>
      </c>
      <c r="E380" s="1" t="s">
        <v>17</v>
      </c>
    </row>
    <row r="381" spans="1:5" x14ac:dyDescent="0.5">
      <c r="A381" s="1" t="s">
        <v>33</v>
      </c>
      <c r="B381">
        <v>1850</v>
      </c>
      <c r="C381">
        <v>583169</v>
      </c>
      <c r="D381" s="1" t="s">
        <v>16</v>
      </c>
      <c r="E381" s="1" t="s">
        <v>17</v>
      </c>
    </row>
    <row r="382" spans="1:5" x14ac:dyDescent="0.5">
      <c r="A382" s="1" t="s">
        <v>33</v>
      </c>
      <c r="B382">
        <v>1840</v>
      </c>
      <c r="C382">
        <v>501793</v>
      </c>
      <c r="D382" s="1" t="s">
        <v>16</v>
      </c>
      <c r="E382" s="1" t="s">
        <v>17</v>
      </c>
    </row>
    <row r="383" spans="1:5" x14ac:dyDescent="0.5">
      <c r="A383" s="1" t="s">
        <v>33</v>
      </c>
      <c r="B383">
        <v>1830</v>
      </c>
      <c r="C383">
        <v>399455</v>
      </c>
      <c r="D383" s="1" t="s">
        <v>16</v>
      </c>
      <c r="E383" s="1" t="s">
        <v>17</v>
      </c>
    </row>
    <row r="384" spans="1:5" x14ac:dyDescent="0.5">
      <c r="A384" s="1" t="s">
        <v>33</v>
      </c>
      <c r="B384">
        <v>1820</v>
      </c>
      <c r="C384">
        <v>298335</v>
      </c>
      <c r="D384" s="1" t="s">
        <v>16</v>
      </c>
      <c r="E384" s="1" t="s">
        <v>17</v>
      </c>
    </row>
    <row r="385" spans="1:5" x14ac:dyDescent="0.5">
      <c r="A385" s="1" t="s">
        <v>33</v>
      </c>
      <c r="B385">
        <v>1810</v>
      </c>
      <c r="C385">
        <v>228705</v>
      </c>
      <c r="D385" s="1" t="s">
        <v>16</v>
      </c>
      <c r="E385" s="1" t="s">
        <v>17</v>
      </c>
    </row>
    <row r="386" spans="1:5" x14ac:dyDescent="0.5">
      <c r="A386" s="1" t="s">
        <v>33</v>
      </c>
      <c r="B386">
        <v>1800</v>
      </c>
      <c r="C386">
        <v>151719</v>
      </c>
      <c r="D386" s="1" t="s">
        <v>16</v>
      </c>
      <c r="E386" s="1" t="s">
        <v>17</v>
      </c>
    </row>
    <row r="387" spans="1:5" x14ac:dyDescent="0.5">
      <c r="A387" s="1" t="s">
        <v>33</v>
      </c>
      <c r="B387">
        <v>1790</v>
      </c>
      <c r="C387">
        <v>96540</v>
      </c>
      <c r="D387" s="1" t="s">
        <v>16</v>
      </c>
      <c r="E387" s="1" t="s">
        <v>17</v>
      </c>
    </row>
    <row r="388" spans="1:5" x14ac:dyDescent="0.5">
      <c r="A388" s="1" t="s">
        <v>34</v>
      </c>
      <c r="B388">
        <v>2010</v>
      </c>
      <c r="C388">
        <v>5773552</v>
      </c>
      <c r="D388" s="1" t="s">
        <v>4</v>
      </c>
      <c r="E388" s="1" t="s">
        <v>19</v>
      </c>
    </row>
    <row r="389" spans="1:5" x14ac:dyDescent="0.5">
      <c r="A389" s="1" t="s">
        <v>34</v>
      </c>
      <c r="B389">
        <v>2000</v>
      </c>
      <c r="C389">
        <v>5296486</v>
      </c>
      <c r="D389" s="1" t="s">
        <v>4</v>
      </c>
      <c r="E389" s="1" t="s">
        <v>19</v>
      </c>
    </row>
    <row r="390" spans="1:5" x14ac:dyDescent="0.5">
      <c r="A390" s="1" t="s">
        <v>34</v>
      </c>
      <c r="B390">
        <v>1990</v>
      </c>
      <c r="C390">
        <v>4781468</v>
      </c>
      <c r="D390" s="1" t="s">
        <v>4</v>
      </c>
      <c r="E390" s="1" t="s">
        <v>19</v>
      </c>
    </row>
    <row r="391" spans="1:5" x14ac:dyDescent="0.5">
      <c r="A391" s="1" t="s">
        <v>34</v>
      </c>
      <c r="B391">
        <v>1980</v>
      </c>
      <c r="C391">
        <v>4216933</v>
      </c>
      <c r="D391" s="1" t="s">
        <v>4</v>
      </c>
      <c r="E391" s="1" t="s">
        <v>19</v>
      </c>
    </row>
    <row r="392" spans="1:5" x14ac:dyDescent="0.5">
      <c r="A392" s="1" t="s">
        <v>34</v>
      </c>
      <c r="B392">
        <v>1970</v>
      </c>
      <c r="C392">
        <v>3923897</v>
      </c>
      <c r="D392" s="1" t="s">
        <v>4</v>
      </c>
      <c r="E392" s="1" t="s">
        <v>19</v>
      </c>
    </row>
    <row r="393" spans="1:5" x14ac:dyDescent="0.5">
      <c r="A393" s="1" t="s">
        <v>34</v>
      </c>
      <c r="B393">
        <v>1960</v>
      </c>
      <c r="C393">
        <v>3100689</v>
      </c>
      <c r="D393" s="1" t="s">
        <v>4</v>
      </c>
      <c r="E393" s="1" t="s">
        <v>19</v>
      </c>
    </row>
    <row r="394" spans="1:5" x14ac:dyDescent="0.5">
      <c r="A394" s="1" t="s">
        <v>34</v>
      </c>
      <c r="B394">
        <v>1950</v>
      </c>
      <c r="C394">
        <v>2343001</v>
      </c>
      <c r="D394" s="1" t="s">
        <v>4</v>
      </c>
      <c r="E394" s="1" t="s">
        <v>19</v>
      </c>
    </row>
    <row r="395" spans="1:5" x14ac:dyDescent="0.5">
      <c r="A395" s="1" t="s">
        <v>34</v>
      </c>
      <c r="B395">
        <v>1940</v>
      </c>
      <c r="C395">
        <v>1821244</v>
      </c>
      <c r="D395" s="1" t="s">
        <v>4</v>
      </c>
      <c r="E395" s="1" t="s">
        <v>19</v>
      </c>
    </row>
    <row r="396" spans="1:5" x14ac:dyDescent="0.5">
      <c r="A396" s="1" t="s">
        <v>34</v>
      </c>
      <c r="B396">
        <v>1930</v>
      </c>
      <c r="C396">
        <v>1631526</v>
      </c>
      <c r="D396" s="1" t="s">
        <v>4</v>
      </c>
      <c r="E396" s="1" t="s">
        <v>19</v>
      </c>
    </row>
    <row r="397" spans="1:5" x14ac:dyDescent="0.5">
      <c r="A397" s="1" t="s">
        <v>34</v>
      </c>
      <c r="B397">
        <v>1920</v>
      </c>
      <c r="C397">
        <v>1499661</v>
      </c>
      <c r="D397" s="1" t="s">
        <v>4</v>
      </c>
      <c r="E397" s="1" t="s">
        <v>19</v>
      </c>
    </row>
    <row r="398" spans="1:5" x14ac:dyDescent="0.5">
      <c r="A398" s="1" t="s">
        <v>34</v>
      </c>
      <c r="B398">
        <v>1910</v>
      </c>
      <c r="C398">
        <v>1295346</v>
      </c>
      <c r="D398" s="1" t="s">
        <v>4</v>
      </c>
      <c r="E398" s="1" t="s">
        <v>19</v>
      </c>
    </row>
    <row r="399" spans="1:5" x14ac:dyDescent="0.5">
      <c r="A399" s="1" t="s">
        <v>34</v>
      </c>
      <c r="B399">
        <v>1900</v>
      </c>
      <c r="C399">
        <v>1188044</v>
      </c>
      <c r="D399" s="1" t="s">
        <v>4</v>
      </c>
      <c r="E399" s="1" t="s">
        <v>19</v>
      </c>
    </row>
    <row r="400" spans="1:5" x14ac:dyDescent="0.5">
      <c r="A400" s="1" t="s">
        <v>34</v>
      </c>
      <c r="B400">
        <v>1890</v>
      </c>
      <c r="C400">
        <v>1042390</v>
      </c>
      <c r="D400" s="1" t="s">
        <v>4</v>
      </c>
      <c r="E400" s="1" t="s">
        <v>19</v>
      </c>
    </row>
    <row r="401" spans="1:5" x14ac:dyDescent="0.5">
      <c r="A401" s="1" t="s">
        <v>34</v>
      </c>
      <c r="B401">
        <v>1880</v>
      </c>
      <c r="C401">
        <v>934943</v>
      </c>
      <c r="D401" s="1" t="s">
        <v>4</v>
      </c>
      <c r="E401" s="1" t="s">
        <v>19</v>
      </c>
    </row>
    <row r="402" spans="1:5" x14ac:dyDescent="0.5">
      <c r="A402" s="1" t="s">
        <v>34</v>
      </c>
      <c r="B402">
        <v>1870</v>
      </c>
      <c r="C402">
        <v>780894</v>
      </c>
      <c r="D402" s="1" t="s">
        <v>4</v>
      </c>
      <c r="E402" s="1" t="s">
        <v>19</v>
      </c>
    </row>
    <row r="403" spans="1:5" x14ac:dyDescent="0.5">
      <c r="A403" s="1" t="s">
        <v>34</v>
      </c>
      <c r="B403">
        <v>1860</v>
      </c>
      <c r="C403">
        <v>687049</v>
      </c>
      <c r="D403" s="1" t="s">
        <v>4</v>
      </c>
      <c r="E403" s="1" t="s">
        <v>19</v>
      </c>
    </row>
    <row r="404" spans="1:5" x14ac:dyDescent="0.5">
      <c r="A404" s="1" t="s">
        <v>34</v>
      </c>
      <c r="B404">
        <v>1850</v>
      </c>
      <c r="C404">
        <v>583034</v>
      </c>
      <c r="D404" s="1" t="s">
        <v>4</v>
      </c>
      <c r="E404" s="1" t="s">
        <v>19</v>
      </c>
    </row>
    <row r="405" spans="1:5" x14ac:dyDescent="0.5">
      <c r="A405" s="1" t="s">
        <v>34</v>
      </c>
      <c r="B405">
        <v>1840</v>
      </c>
      <c r="C405">
        <v>470019</v>
      </c>
      <c r="D405" s="1" t="s">
        <v>4</v>
      </c>
      <c r="E405" s="1" t="s">
        <v>19</v>
      </c>
    </row>
    <row r="406" spans="1:5" x14ac:dyDescent="0.5">
      <c r="A406" s="1" t="s">
        <v>34</v>
      </c>
      <c r="B406">
        <v>1830</v>
      </c>
      <c r="C406">
        <v>447040</v>
      </c>
      <c r="D406" s="1" t="s">
        <v>4</v>
      </c>
      <c r="E406" s="1" t="s">
        <v>19</v>
      </c>
    </row>
    <row r="407" spans="1:5" x14ac:dyDescent="0.5">
      <c r="A407" s="1" t="s">
        <v>34</v>
      </c>
      <c r="B407">
        <v>1820</v>
      </c>
      <c r="C407">
        <v>407350</v>
      </c>
      <c r="D407" s="1" t="s">
        <v>4</v>
      </c>
      <c r="E407" s="1" t="s">
        <v>19</v>
      </c>
    </row>
    <row r="408" spans="1:5" x14ac:dyDescent="0.5">
      <c r="A408" s="1" t="s">
        <v>34</v>
      </c>
      <c r="B408">
        <v>1810</v>
      </c>
      <c r="C408">
        <v>380546</v>
      </c>
      <c r="D408" s="1" t="s">
        <v>4</v>
      </c>
      <c r="E408" s="1" t="s">
        <v>19</v>
      </c>
    </row>
    <row r="409" spans="1:5" x14ac:dyDescent="0.5">
      <c r="A409" s="1" t="s">
        <v>34</v>
      </c>
      <c r="B409">
        <v>1800</v>
      </c>
      <c r="C409">
        <v>341548</v>
      </c>
      <c r="D409" s="1" t="s">
        <v>4</v>
      </c>
      <c r="E409" s="1" t="s">
        <v>19</v>
      </c>
    </row>
    <row r="410" spans="1:5" x14ac:dyDescent="0.5">
      <c r="A410" s="1" t="s">
        <v>34</v>
      </c>
      <c r="B410">
        <v>1790</v>
      </c>
      <c r="C410">
        <v>319728</v>
      </c>
      <c r="D410" s="1" t="s">
        <v>4</v>
      </c>
      <c r="E410" s="1" t="s">
        <v>19</v>
      </c>
    </row>
    <row r="411" spans="1:5" x14ac:dyDescent="0.5">
      <c r="A411" s="1" t="s">
        <v>35</v>
      </c>
      <c r="B411">
        <v>2010</v>
      </c>
      <c r="C411">
        <v>6547629</v>
      </c>
      <c r="D411" s="1" t="s">
        <v>16</v>
      </c>
      <c r="E411" s="1" t="s">
        <v>17</v>
      </c>
    </row>
    <row r="412" spans="1:5" x14ac:dyDescent="0.5">
      <c r="A412" s="1" t="s">
        <v>35</v>
      </c>
      <c r="B412">
        <v>2000</v>
      </c>
      <c r="C412">
        <v>6349097</v>
      </c>
      <c r="D412" s="1" t="s">
        <v>16</v>
      </c>
      <c r="E412" s="1" t="s">
        <v>17</v>
      </c>
    </row>
    <row r="413" spans="1:5" x14ac:dyDescent="0.5">
      <c r="A413" s="1" t="s">
        <v>35</v>
      </c>
      <c r="B413">
        <v>1990</v>
      </c>
      <c r="C413">
        <v>6016425</v>
      </c>
      <c r="D413" s="1" t="s">
        <v>16</v>
      </c>
      <c r="E413" s="1" t="s">
        <v>17</v>
      </c>
    </row>
    <row r="414" spans="1:5" x14ac:dyDescent="0.5">
      <c r="A414" s="1" t="s">
        <v>35</v>
      </c>
      <c r="B414">
        <v>1980</v>
      </c>
      <c r="C414">
        <v>5737093</v>
      </c>
      <c r="D414" s="1" t="s">
        <v>16</v>
      </c>
      <c r="E414" s="1" t="s">
        <v>17</v>
      </c>
    </row>
    <row r="415" spans="1:5" x14ac:dyDescent="0.5">
      <c r="A415" s="1" t="s">
        <v>35</v>
      </c>
      <c r="B415">
        <v>1970</v>
      </c>
      <c r="C415">
        <v>5689170</v>
      </c>
      <c r="D415" s="1" t="s">
        <v>16</v>
      </c>
      <c r="E415" s="1" t="s">
        <v>17</v>
      </c>
    </row>
    <row r="416" spans="1:5" x14ac:dyDescent="0.5">
      <c r="A416" s="1" t="s">
        <v>35</v>
      </c>
      <c r="B416">
        <v>1960</v>
      </c>
      <c r="C416">
        <v>5148578</v>
      </c>
      <c r="D416" s="1" t="s">
        <v>16</v>
      </c>
      <c r="E416" s="1" t="s">
        <v>17</v>
      </c>
    </row>
    <row r="417" spans="1:5" x14ac:dyDescent="0.5">
      <c r="A417" s="1" t="s">
        <v>35</v>
      </c>
      <c r="B417">
        <v>1950</v>
      </c>
      <c r="C417">
        <v>4690514</v>
      </c>
      <c r="D417" s="1" t="s">
        <v>16</v>
      </c>
      <c r="E417" s="1" t="s">
        <v>17</v>
      </c>
    </row>
    <row r="418" spans="1:5" x14ac:dyDescent="0.5">
      <c r="A418" s="1" t="s">
        <v>35</v>
      </c>
      <c r="B418">
        <v>1940</v>
      </c>
      <c r="C418">
        <v>4316721</v>
      </c>
      <c r="D418" s="1" t="s">
        <v>16</v>
      </c>
      <c r="E418" s="1" t="s">
        <v>17</v>
      </c>
    </row>
    <row r="419" spans="1:5" x14ac:dyDescent="0.5">
      <c r="A419" s="1" t="s">
        <v>35</v>
      </c>
      <c r="B419">
        <v>1930</v>
      </c>
      <c r="C419">
        <v>4249614</v>
      </c>
      <c r="D419" s="1" t="s">
        <v>16</v>
      </c>
      <c r="E419" s="1" t="s">
        <v>17</v>
      </c>
    </row>
    <row r="420" spans="1:5" x14ac:dyDescent="0.5">
      <c r="A420" s="1" t="s">
        <v>35</v>
      </c>
      <c r="B420">
        <v>1920</v>
      </c>
      <c r="C420">
        <v>3852356</v>
      </c>
      <c r="D420" s="1" t="s">
        <v>16</v>
      </c>
      <c r="E420" s="1" t="s">
        <v>17</v>
      </c>
    </row>
    <row r="421" spans="1:5" x14ac:dyDescent="0.5">
      <c r="A421" s="1" t="s">
        <v>35</v>
      </c>
      <c r="B421">
        <v>1910</v>
      </c>
      <c r="C421">
        <v>3366416</v>
      </c>
      <c r="D421" s="1" t="s">
        <v>16</v>
      </c>
      <c r="E421" s="1" t="s">
        <v>17</v>
      </c>
    </row>
    <row r="422" spans="1:5" x14ac:dyDescent="0.5">
      <c r="A422" s="1" t="s">
        <v>35</v>
      </c>
      <c r="B422">
        <v>1900</v>
      </c>
      <c r="C422">
        <v>2805346</v>
      </c>
      <c r="D422" s="1" t="s">
        <v>16</v>
      </c>
      <c r="E422" s="1" t="s">
        <v>17</v>
      </c>
    </row>
    <row r="423" spans="1:5" x14ac:dyDescent="0.5">
      <c r="A423" s="1" t="s">
        <v>35</v>
      </c>
      <c r="B423">
        <v>1890</v>
      </c>
      <c r="C423">
        <v>2238947</v>
      </c>
      <c r="D423" s="1" t="s">
        <v>16</v>
      </c>
      <c r="E423" s="1" t="s">
        <v>17</v>
      </c>
    </row>
    <row r="424" spans="1:5" x14ac:dyDescent="0.5">
      <c r="A424" s="1" t="s">
        <v>35</v>
      </c>
      <c r="B424">
        <v>1880</v>
      </c>
      <c r="C424">
        <v>1783085</v>
      </c>
      <c r="D424" s="1" t="s">
        <v>16</v>
      </c>
      <c r="E424" s="1" t="s">
        <v>17</v>
      </c>
    </row>
    <row r="425" spans="1:5" x14ac:dyDescent="0.5">
      <c r="A425" s="1" t="s">
        <v>35</v>
      </c>
      <c r="B425">
        <v>1870</v>
      </c>
      <c r="C425">
        <v>1457351</v>
      </c>
      <c r="D425" s="1" t="s">
        <v>16</v>
      </c>
      <c r="E425" s="1" t="s">
        <v>17</v>
      </c>
    </row>
    <row r="426" spans="1:5" x14ac:dyDescent="0.5">
      <c r="A426" s="1" t="s">
        <v>35</v>
      </c>
      <c r="B426">
        <v>1860</v>
      </c>
      <c r="C426">
        <v>1231066</v>
      </c>
      <c r="D426" s="1" t="s">
        <v>16</v>
      </c>
      <c r="E426" s="1" t="s">
        <v>17</v>
      </c>
    </row>
    <row r="427" spans="1:5" x14ac:dyDescent="0.5">
      <c r="A427" s="1" t="s">
        <v>35</v>
      </c>
      <c r="B427">
        <v>1850</v>
      </c>
      <c r="C427">
        <v>994514</v>
      </c>
      <c r="D427" s="1" t="s">
        <v>16</v>
      </c>
      <c r="E427" s="1" t="s">
        <v>17</v>
      </c>
    </row>
    <row r="428" spans="1:5" x14ac:dyDescent="0.5">
      <c r="A428" s="1" t="s">
        <v>35</v>
      </c>
      <c r="B428">
        <v>1840</v>
      </c>
      <c r="C428">
        <v>737699</v>
      </c>
      <c r="D428" s="1" t="s">
        <v>16</v>
      </c>
      <c r="E428" s="1" t="s">
        <v>17</v>
      </c>
    </row>
    <row r="429" spans="1:5" x14ac:dyDescent="0.5">
      <c r="A429" s="1" t="s">
        <v>35</v>
      </c>
      <c r="B429">
        <v>1830</v>
      </c>
      <c r="C429">
        <v>610408</v>
      </c>
      <c r="D429" s="1" t="s">
        <v>16</v>
      </c>
      <c r="E429" s="1" t="s">
        <v>17</v>
      </c>
    </row>
    <row r="430" spans="1:5" x14ac:dyDescent="0.5">
      <c r="A430" s="1" t="s">
        <v>35</v>
      </c>
      <c r="B430">
        <v>1820</v>
      </c>
      <c r="C430">
        <v>523287</v>
      </c>
      <c r="D430" s="1" t="s">
        <v>16</v>
      </c>
      <c r="E430" s="1" t="s">
        <v>17</v>
      </c>
    </row>
    <row r="431" spans="1:5" x14ac:dyDescent="0.5">
      <c r="A431" s="1" t="s">
        <v>35</v>
      </c>
      <c r="B431">
        <v>1810</v>
      </c>
      <c r="C431">
        <v>472040</v>
      </c>
      <c r="D431" s="1" t="s">
        <v>16</v>
      </c>
      <c r="E431" s="1" t="s">
        <v>17</v>
      </c>
    </row>
    <row r="432" spans="1:5" x14ac:dyDescent="0.5">
      <c r="A432" s="1" t="s">
        <v>35</v>
      </c>
      <c r="B432">
        <v>1800</v>
      </c>
      <c r="C432">
        <v>422845</v>
      </c>
      <c r="D432" s="1" t="s">
        <v>16</v>
      </c>
      <c r="E432" s="1" t="s">
        <v>17</v>
      </c>
    </row>
    <row r="433" spans="1:5" x14ac:dyDescent="0.5">
      <c r="A433" s="1" t="s">
        <v>35</v>
      </c>
      <c r="B433">
        <v>1790</v>
      </c>
      <c r="C433">
        <v>378787</v>
      </c>
      <c r="D433" s="1" t="s">
        <v>16</v>
      </c>
      <c r="E433" s="1" t="s">
        <v>17</v>
      </c>
    </row>
    <row r="434" spans="1:5" x14ac:dyDescent="0.5">
      <c r="A434" s="1" t="s">
        <v>36</v>
      </c>
      <c r="B434">
        <v>2010</v>
      </c>
      <c r="C434">
        <v>9883640</v>
      </c>
      <c r="D434" s="1" t="s">
        <v>25</v>
      </c>
      <c r="E434" s="1" t="s">
        <v>26</v>
      </c>
    </row>
    <row r="435" spans="1:5" x14ac:dyDescent="0.5">
      <c r="A435" s="1" t="s">
        <v>36</v>
      </c>
      <c r="B435">
        <v>2000</v>
      </c>
      <c r="C435">
        <v>9938444</v>
      </c>
      <c r="D435" s="1" t="s">
        <v>25</v>
      </c>
      <c r="E435" s="1" t="s">
        <v>26</v>
      </c>
    </row>
    <row r="436" spans="1:5" x14ac:dyDescent="0.5">
      <c r="A436" s="1" t="s">
        <v>36</v>
      </c>
      <c r="B436">
        <v>1990</v>
      </c>
      <c r="C436">
        <v>9295297</v>
      </c>
      <c r="D436" s="1" t="s">
        <v>25</v>
      </c>
      <c r="E436" s="1" t="s">
        <v>26</v>
      </c>
    </row>
    <row r="437" spans="1:5" x14ac:dyDescent="0.5">
      <c r="A437" s="1" t="s">
        <v>36</v>
      </c>
      <c r="B437">
        <v>1980</v>
      </c>
      <c r="C437">
        <v>9262044</v>
      </c>
      <c r="D437" s="1" t="s">
        <v>25</v>
      </c>
      <c r="E437" s="1" t="s">
        <v>26</v>
      </c>
    </row>
    <row r="438" spans="1:5" x14ac:dyDescent="0.5">
      <c r="A438" s="1" t="s">
        <v>36</v>
      </c>
      <c r="B438">
        <v>1970</v>
      </c>
      <c r="C438">
        <v>8881826</v>
      </c>
      <c r="D438" s="1" t="s">
        <v>25</v>
      </c>
      <c r="E438" s="1" t="s">
        <v>26</v>
      </c>
    </row>
    <row r="439" spans="1:5" x14ac:dyDescent="0.5">
      <c r="A439" s="1" t="s">
        <v>36</v>
      </c>
      <c r="B439">
        <v>1960</v>
      </c>
      <c r="C439">
        <v>7823194</v>
      </c>
      <c r="D439" s="1" t="s">
        <v>25</v>
      </c>
      <c r="E439" s="1" t="s">
        <v>26</v>
      </c>
    </row>
    <row r="440" spans="1:5" x14ac:dyDescent="0.5">
      <c r="A440" s="1" t="s">
        <v>36</v>
      </c>
      <c r="B440">
        <v>1950</v>
      </c>
      <c r="C440">
        <v>6371766</v>
      </c>
      <c r="D440" s="1" t="s">
        <v>25</v>
      </c>
      <c r="E440" s="1" t="s">
        <v>26</v>
      </c>
    </row>
    <row r="441" spans="1:5" x14ac:dyDescent="0.5">
      <c r="A441" s="1" t="s">
        <v>36</v>
      </c>
      <c r="B441">
        <v>1940</v>
      </c>
      <c r="C441">
        <v>5256106</v>
      </c>
      <c r="D441" s="1" t="s">
        <v>25</v>
      </c>
      <c r="E441" s="1" t="s">
        <v>26</v>
      </c>
    </row>
    <row r="442" spans="1:5" x14ac:dyDescent="0.5">
      <c r="A442" s="1" t="s">
        <v>36</v>
      </c>
      <c r="B442">
        <v>1930</v>
      </c>
      <c r="C442">
        <v>4842325</v>
      </c>
      <c r="D442" s="1" t="s">
        <v>25</v>
      </c>
      <c r="E442" s="1" t="s">
        <v>26</v>
      </c>
    </row>
    <row r="443" spans="1:5" x14ac:dyDescent="0.5">
      <c r="A443" s="1" t="s">
        <v>36</v>
      </c>
      <c r="B443">
        <v>1920</v>
      </c>
      <c r="C443">
        <v>3668415</v>
      </c>
      <c r="D443" s="1" t="s">
        <v>25</v>
      </c>
      <c r="E443" s="1" t="s">
        <v>26</v>
      </c>
    </row>
    <row r="444" spans="1:5" x14ac:dyDescent="0.5">
      <c r="A444" s="1" t="s">
        <v>36</v>
      </c>
      <c r="B444">
        <v>1910</v>
      </c>
      <c r="C444">
        <v>2810173</v>
      </c>
      <c r="D444" s="1" t="s">
        <v>25</v>
      </c>
      <c r="E444" s="1" t="s">
        <v>26</v>
      </c>
    </row>
    <row r="445" spans="1:5" x14ac:dyDescent="0.5">
      <c r="A445" s="1" t="s">
        <v>36</v>
      </c>
      <c r="B445">
        <v>1900</v>
      </c>
      <c r="C445">
        <v>2420982</v>
      </c>
      <c r="D445" s="1" t="s">
        <v>25</v>
      </c>
      <c r="E445" s="1" t="s">
        <v>26</v>
      </c>
    </row>
    <row r="446" spans="1:5" x14ac:dyDescent="0.5">
      <c r="A446" s="1" t="s">
        <v>36</v>
      </c>
      <c r="B446">
        <v>1890</v>
      </c>
      <c r="C446">
        <v>2093890</v>
      </c>
      <c r="D446" s="1" t="s">
        <v>25</v>
      </c>
      <c r="E446" s="1" t="s">
        <v>26</v>
      </c>
    </row>
    <row r="447" spans="1:5" x14ac:dyDescent="0.5">
      <c r="A447" s="1" t="s">
        <v>36</v>
      </c>
      <c r="B447">
        <v>1880</v>
      </c>
      <c r="C447">
        <v>1636937</v>
      </c>
      <c r="D447" s="1" t="s">
        <v>25</v>
      </c>
      <c r="E447" s="1" t="s">
        <v>26</v>
      </c>
    </row>
    <row r="448" spans="1:5" x14ac:dyDescent="0.5">
      <c r="A448" s="1" t="s">
        <v>36</v>
      </c>
      <c r="B448">
        <v>1870</v>
      </c>
      <c r="C448">
        <v>1184059</v>
      </c>
      <c r="D448" s="1" t="s">
        <v>25</v>
      </c>
      <c r="E448" s="1" t="s">
        <v>26</v>
      </c>
    </row>
    <row r="449" spans="1:5" x14ac:dyDescent="0.5">
      <c r="A449" s="1" t="s">
        <v>36</v>
      </c>
      <c r="B449">
        <v>1860</v>
      </c>
      <c r="C449">
        <v>749113</v>
      </c>
      <c r="D449" s="1" t="s">
        <v>25</v>
      </c>
      <c r="E449" s="1" t="s">
        <v>26</v>
      </c>
    </row>
    <row r="450" spans="1:5" x14ac:dyDescent="0.5">
      <c r="A450" s="1" t="s">
        <v>36</v>
      </c>
      <c r="B450">
        <v>1850</v>
      </c>
      <c r="C450">
        <v>397654</v>
      </c>
      <c r="D450" s="1" t="s">
        <v>25</v>
      </c>
      <c r="E450" s="1" t="s">
        <v>26</v>
      </c>
    </row>
    <row r="451" spans="1:5" x14ac:dyDescent="0.5">
      <c r="A451" s="1" t="s">
        <v>36</v>
      </c>
      <c r="B451">
        <v>1840</v>
      </c>
      <c r="C451">
        <v>212267</v>
      </c>
      <c r="D451" s="1" t="s">
        <v>25</v>
      </c>
      <c r="E451" s="1" t="s">
        <v>26</v>
      </c>
    </row>
    <row r="452" spans="1:5" x14ac:dyDescent="0.5">
      <c r="A452" s="1" t="s">
        <v>36</v>
      </c>
      <c r="B452">
        <v>1830</v>
      </c>
      <c r="C452">
        <v>31639</v>
      </c>
      <c r="D452" s="1" t="s">
        <v>25</v>
      </c>
      <c r="E452" s="1" t="s">
        <v>26</v>
      </c>
    </row>
    <row r="453" spans="1:5" x14ac:dyDescent="0.5">
      <c r="A453" s="1" t="s">
        <v>36</v>
      </c>
      <c r="B453">
        <v>1820</v>
      </c>
      <c r="C453">
        <v>8896</v>
      </c>
      <c r="D453" s="1" t="s">
        <v>25</v>
      </c>
      <c r="E453" s="1" t="s">
        <v>26</v>
      </c>
    </row>
    <row r="454" spans="1:5" x14ac:dyDescent="0.5">
      <c r="A454" s="1" t="s">
        <v>36</v>
      </c>
      <c r="B454">
        <v>1810</v>
      </c>
      <c r="C454">
        <v>4762</v>
      </c>
      <c r="D454" s="1" t="s">
        <v>25</v>
      </c>
      <c r="E454" s="1" t="s">
        <v>26</v>
      </c>
    </row>
    <row r="455" spans="1:5" x14ac:dyDescent="0.5">
      <c r="A455" s="1" t="s">
        <v>37</v>
      </c>
      <c r="B455">
        <v>2010</v>
      </c>
      <c r="C455">
        <v>5303925</v>
      </c>
      <c r="D455" s="1" t="s">
        <v>25</v>
      </c>
      <c r="E455" s="1" t="s">
        <v>29</v>
      </c>
    </row>
    <row r="456" spans="1:5" x14ac:dyDescent="0.5">
      <c r="A456" s="1" t="s">
        <v>37</v>
      </c>
      <c r="B456">
        <v>2000</v>
      </c>
      <c r="C456">
        <v>4919479</v>
      </c>
      <c r="D456" s="1" t="s">
        <v>25</v>
      </c>
      <c r="E456" s="1" t="s">
        <v>29</v>
      </c>
    </row>
    <row r="457" spans="1:5" x14ac:dyDescent="0.5">
      <c r="A457" s="1" t="s">
        <v>37</v>
      </c>
      <c r="B457">
        <v>1990</v>
      </c>
      <c r="C457">
        <v>4375099</v>
      </c>
      <c r="D457" s="1" t="s">
        <v>25</v>
      </c>
      <c r="E457" s="1" t="s">
        <v>29</v>
      </c>
    </row>
    <row r="458" spans="1:5" x14ac:dyDescent="0.5">
      <c r="A458" s="1" t="s">
        <v>37</v>
      </c>
      <c r="B458">
        <v>1980</v>
      </c>
      <c r="C458">
        <v>4075970</v>
      </c>
      <c r="D458" s="1" t="s">
        <v>25</v>
      </c>
      <c r="E458" s="1" t="s">
        <v>29</v>
      </c>
    </row>
    <row r="459" spans="1:5" x14ac:dyDescent="0.5">
      <c r="A459" s="1" t="s">
        <v>37</v>
      </c>
      <c r="B459">
        <v>1970</v>
      </c>
      <c r="C459">
        <v>3806103</v>
      </c>
      <c r="D459" s="1" t="s">
        <v>25</v>
      </c>
      <c r="E459" s="1" t="s">
        <v>29</v>
      </c>
    </row>
    <row r="460" spans="1:5" x14ac:dyDescent="0.5">
      <c r="A460" s="1" t="s">
        <v>37</v>
      </c>
      <c r="B460">
        <v>1960</v>
      </c>
      <c r="C460">
        <v>3413864</v>
      </c>
      <c r="D460" s="1" t="s">
        <v>25</v>
      </c>
      <c r="E460" s="1" t="s">
        <v>29</v>
      </c>
    </row>
    <row r="461" spans="1:5" x14ac:dyDescent="0.5">
      <c r="A461" s="1" t="s">
        <v>37</v>
      </c>
      <c r="B461">
        <v>1950</v>
      </c>
      <c r="C461">
        <v>2982483</v>
      </c>
      <c r="D461" s="1" t="s">
        <v>25</v>
      </c>
      <c r="E461" s="1" t="s">
        <v>29</v>
      </c>
    </row>
    <row r="462" spans="1:5" x14ac:dyDescent="0.5">
      <c r="A462" s="1" t="s">
        <v>37</v>
      </c>
      <c r="B462">
        <v>1940</v>
      </c>
      <c r="C462">
        <v>2792300</v>
      </c>
      <c r="D462" s="1" t="s">
        <v>25</v>
      </c>
      <c r="E462" s="1" t="s">
        <v>29</v>
      </c>
    </row>
    <row r="463" spans="1:5" x14ac:dyDescent="0.5">
      <c r="A463" s="1" t="s">
        <v>37</v>
      </c>
      <c r="B463">
        <v>1930</v>
      </c>
      <c r="C463">
        <v>2563953</v>
      </c>
      <c r="D463" s="1" t="s">
        <v>25</v>
      </c>
      <c r="E463" s="1" t="s">
        <v>29</v>
      </c>
    </row>
    <row r="464" spans="1:5" x14ac:dyDescent="0.5">
      <c r="A464" s="1" t="s">
        <v>37</v>
      </c>
      <c r="B464">
        <v>1920</v>
      </c>
      <c r="C464">
        <v>2387125</v>
      </c>
      <c r="D464" s="1" t="s">
        <v>25</v>
      </c>
      <c r="E464" s="1" t="s">
        <v>29</v>
      </c>
    </row>
    <row r="465" spans="1:5" x14ac:dyDescent="0.5">
      <c r="A465" s="1" t="s">
        <v>37</v>
      </c>
      <c r="B465">
        <v>1910</v>
      </c>
      <c r="C465">
        <v>2075708</v>
      </c>
      <c r="D465" s="1" t="s">
        <v>25</v>
      </c>
      <c r="E465" s="1" t="s">
        <v>29</v>
      </c>
    </row>
    <row r="466" spans="1:5" x14ac:dyDescent="0.5">
      <c r="A466" s="1" t="s">
        <v>37</v>
      </c>
      <c r="B466">
        <v>1900</v>
      </c>
      <c r="C466">
        <v>1751394</v>
      </c>
      <c r="D466" s="1" t="s">
        <v>25</v>
      </c>
      <c r="E466" s="1" t="s">
        <v>29</v>
      </c>
    </row>
    <row r="467" spans="1:5" x14ac:dyDescent="0.5">
      <c r="A467" s="1" t="s">
        <v>37</v>
      </c>
      <c r="B467">
        <v>1890</v>
      </c>
      <c r="C467">
        <v>1310283</v>
      </c>
      <c r="D467" s="1" t="s">
        <v>25</v>
      </c>
      <c r="E467" s="1" t="s">
        <v>29</v>
      </c>
    </row>
    <row r="468" spans="1:5" x14ac:dyDescent="0.5">
      <c r="A468" s="1" t="s">
        <v>37</v>
      </c>
      <c r="B468">
        <v>1880</v>
      </c>
      <c r="C468">
        <v>780773</v>
      </c>
      <c r="D468" s="1" t="s">
        <v>25</v>
      </c>
      <c r="E468" s="1" t="s">
        <v>29</v>
      </c>
    </row>
    <row r="469" spans="1:5" x14ac:dyDescent="0.5">
      <c r="A469" s="1" t="s">
        <v>37</v>
      </c>
      <c r="B469">
        <v>1870</v>
      </c>
      <c r="C469">
        <v>439706</v>
      </c>
      <c r="D469" s="1" t="s">
        <v>25</v>
      </c>
      <c r="E469" s="1" t="s">
        <v>29</v>
      </c>
    </row>
    <row r="470" spans="1:5" x14ac:dyDescent="0.5">
      <c r="A470" s="1" t="s">
        <v>37</v>
      </c>
      <c r="B470">
        <v>1860</v>
      </c>
      <c r="C470">
        <v>172023</v>
      </c>
      <c r="D470" s="1" t="s">
        <v>25</v>
      </c>
      <c r="E470" s="1" t="s">
        <v>29</v>
      </c>
    </row>
    <row r="471" spans="1:5" x14ac:dyDescent="0.5">
      <c r="A471" s="1" t="s">
        <v>37</v>
      </c>
      <c r="B471">
        <v>1850</v>
      </c>
      <c r="C471">
        <v>6077</v>
      </c>
      <c r="D471" s="1" t="s">
        <v>25</v>
      </c>
      <c r="E471" s="1" t="s">
        <v>29</v>
      </c>
    </row>
    <row r="472" spans="1:5" x14ac:dyDescent="0.5">
      <c r="A472" s="1" t="s">
        <v>38</v>
      </c>
      <c r="B472">
        <v>2010</v>
      </c>
      <c r="C472">
        <v>2967297</v>
      </c>
      <c r="D472" s="1" t="s">
        <v>4</v>
      </c>
      <c r="E472" s="1" t="s">
        <v>5</v>
      </c>
    </row>
    <row r="473" spans="1:5" x14ac:dyDescent="0.5">
      <c r="A473" s="1" t="s">
        <v>38</v>
      </c>
      <c r="B473">
        <v>2000</v>
      </c>
      <c r="C473">
        <v>2844658</v>
      </c>
      <c r="D473" s="1" t="s">
        <v>4</v>
      </c>
      <c r="E473" s="1" t="s">
        <v>5</v>
      </c>
    </row>
    <row r="474" spans="1:5" x14ac:dyDescent="0.5">
      <c r="A474" s="1" t="s">
        <v>38</v>
      </c>
      <c r="B474">
        <v>1990</v>
      </c>
      <c r="C474">
        <v>2573216</v>
      </c>
      <c r="D474" s="1" t="s">
        <v>4</v>
      </c>
      <c r="E474" s="1" t="s">
        <v>5</v>
      </c>
    </row>
    <row r="475" spans="1:5" x14ac:dyDescent="0.5">
      <c r="A475" s="1" t="s">
        <v>38</v>
      </c>
      <c r="B475">
        <v>1980</v>
      </c>
      <c r="C475">
        <v>2520770</v>
      </c>
      <c r="D475" s="1" t="s">
        <v>4</v>
      </c>
      <c r="E475" s="1" t="s">
        <v>5</v>
      </c>
    </row>
    <row r="476" spans="1:5" x14ac:dyDescent="0.5">
      <c r="A476" s="1" t="s">
        <v>38</v>
      </c>
      <c r="B476">
        <v>1970</v>
      </c>
      <c r="C476">
        <v>2216994</v>
      </c>
      <c r="D476" s="1" t="s">
        <v>4</v>
      </c>
      <c r="E476" s="1" t="s">
        <v>5</v>
      </c>
    </row>
    <row r="477" spans="1:5" x14ac:dyDescent="0.5">
      <c r="A477" s="1" t="s">
        <v>38</v>
      </c>
      <c r="B477">
        <v>1960</v>
      </c>
      <c r="C477">
        <v>2178141</v>
      </c>
      <c r="D477" s="1" t="s">
        <v>4</v>
      </c>
      <c r="E477" s="1" t="s">
        <v>5</v>
      </c>
    </row>
    <row r="478" spans="1:5" x14ac:dyDescent="0.5">
      <c r="A478" s="1" t="s">
        <v>38</v>
      </c>
      <c r="B478">
        <v>1950</v>
      </c>
      <c r="C478">
        <v>2178914</v>
      </c>
      <c r="D478" s="1" t="s">
        <v>4</v>
      </c>
      <c r="E478" s="1" t="s">
        <v>5</v>
      </c>
    </row>
    <row r="479" spans="1:5" x14ac:dyDescent="0.5">
      <c r="A479" s="1" t="s">
        <v>38</v>
      </c>
      <c r="B479">
        <v>1940</v>
      </c>
      <c r="C479">
        <v>2183796</v>
      </c>
      <c r="D479" s="1" t="s">
        <v>4</v>
      </c>
      <c r="E479" s="1" t="s">
        <v>5</v>
      </c>
    </row>
    <row r="480" spans="1:5" x14ac:dyDescent="0.5">
      <c r="A480" s="1" t="s">
        <v>38</v>
      </c>
      <c r="B480">
        <v>1930</v>
      </c>
      <c r="C480">
        <v>2009821</v>
      </c>
      <c r="D480" s="1" t="s">
        <v>4</v>
      </c>
      <c r="E480" s="1" t="s">
        <v>5</v>
      </c>
    </row>
    <row r="481" spans="1:5" x14ac:dyDescent="0.5">
      <c r="A481" s="1" t="s">
        <v>38</v>
      </c>
      <c r="B481">
        <v>1920</v>
      </c>
      <c r="C481">
        <v>1790618</v>
      </c>
      <c r="D481" s="1" t="s">
        <v>4</v>
      </c>
      <c r="E481" s="1" t="s">
        <v>5</v>
      </c>
    </row>
    <row r="482" spans="1:5" x14ac:dyDescent="0.5">
      <c r="A482" s="1" t="s">
        <v>38</v>
      </c>
      <c r="B482">
        <v>1910</v>
      </c>
      <c r="C482">
        <v>1797114</v>
      </c>
      <c r="D482" s="1" t="s">
        <v>4</v>
      </c>
      <c r="E482" s="1" t="s">
        <v>5</v>
      </c>
    </row>
    <row r="483" spans="1:5" x14ac:dyDescent="0.5">
      <c r="A483" s="1" t="s">
        <v>38</v>
      </c>
      <c r="B483">
        <v>1900</v>
      </c>
      <c r="C483">
        <v>1551270</v>
      </c>
      <c r="D483" s="1" t="s">
        <v>4</v>
      </c>
      <c r="E483" s="1" t="s">
        <v>5</v>
      </c>
    </row>
    <row r="484" spans="1:5" x14ac:dyDescent="0.5">
      <c r="A484" s="1" t="s">
        <v>38</v>
      </c>
      <c r="B484">
        <v>1890</v>
      </c>
      <c r="C484">
        <v>1289600</v>
      </c>
      <c r="D484" s="1" t="s">
        <v>4</v>
      </c>
      <c r="E484" s="1" t="s">
        <v>5</v>
      </c>
    </row>
    <row r="485" spans="1:5" x14ac:dyDescent="0.5">
      <c r="A485" s="1" t="s">
        <v>38</v>
      </c>
      <c r="B485">
        <v>1880</v>
      </c>
      <c r="C485">
        <v>1131597</v>
      </c>
      <c r="D485" s="1" t="s">
        <v>4</v>
      </c>
      <c r="E485" s="1" t="s">
        <v>5</v>
      </c>
    </row>
    <row r="486" spans="1:5" x14ac:dyDescent="0.5">
      <c r="A486" s="1" t="s">
        <v>38</v>
      </c>
      <c r="B486">
        <v>1870</v>
      </c>
      <c r="C486">
        <v>827922</v>
      </c>
      <c r="D486" s="1" t="s">
        <v>4</v>
      </c>
      <c r="E486" s="1" t="s">
        <v>5</v>
      </c>
    </row>
    <row r="487" spans="1:5" x14ac:dyDescent="0.5">
      <c r="A487" s="1" t="s">
        <v>38</v>
      </c>
      <c r="B487">
        <v>1860</v>
      </c>
      <c r="C487">
        <v>791305</v>
      </c>
      <c r="D487" s="1" t="s">
        <v>4</v>
      </c>
      <c r="E487" s="1" t="s">
        <v>5</v>
      </c>
    </row>
    <row r="488" spans="1:5" x14ac:dyDescent="0.5">
      <c r="A488" s="1" t="s">
        <v>38</v>
      </c>
      <c r="B488">
        <v>1850</v>
      </c>
      <c r="C488">
        <v>606526</v>
      </c>
      <c r="D488" s="1" t="s">
        <v>4</v>
      </c>
      <c r="E488" s="1" t="s">
        <v>5</v>
      </c>
    </row>
    <row r="489" spans="1:5" x14ac:dyDescent="0.5">
      <c r="A489" s="1" t="s">
        <v>38</v>
      </c>
      <c r="B489">
        <v>1840</v>
      </c>
      <c r="C489">
        <v>375651</v>
      </c>
      <c r="D489" s="1" t="s">
        <v>4</v>
      </c>
      <c r="E489" s="1" t="s">
        <v>5</v>
      </c>
    </row>
    <row r="490" spans="1:5" x14ac:dyDescent="0.5">
      <c r="A490" s="1" t="s">
        <v>38</v>
      </c>
      <c r="B490">
        <v>1830</v>
      </c>
      <c r="C490">
        <v>136621</v>
      </c>
      <c r="D490" s="1" t="s">
        <v>4</v>
      </c>
      <c r="E490" s="1" t="s">
        <v>5</v>
      </c>
    </row>
    <row r="491" spans="1:5" x14ac:dyDescent="0.5">
      <c r="A491" s="1" t="s">
        <v>38</v>
      </c>
      <c r="B491">
        <v>1820</v>
      </c>
      <c r="C491">
        <v>75448</v>
      </c>
      <c r="D491" s="1" t="s">
        <v>4</v>
      </c>
      <c r="E491" s="1" t="s">
        <v>5</v>
      </c>
    </row>
    <row r="492" spans="1:5" x14ac:dyDescent="0.5">
      <c r="A492" s="1" t="s">
        <v>38</v>
      </c>
      <c r="B492">
        <v>1810</v>
      </c>
      <c r="C492">
        <v>31306</v>
      </c>
      <c r="D492" s="1" t="s">
        <v>4</v>
      </c>
      <c r="E492" s="1" t="s">
        <v>5</v>
      </c>
    </row>
    <row r="493" spans="1:5" x14ac:dyDescent="0.5">
      <c r="A493" s="1" t="s">
        <v>38</v>
      </c>
      <c r="B493">
        <v>1800</v>
      </c>
      <c r="C493">
        <v>7600</v>
      </c>
      <c r="D493" s="1" t="s">
        <v>4</v>
      </c>
      <c r="E493" s="1" t="s">
        <v>5</v>
      </c>
    </row>
    <row r="494" spans="1:5" x14ac:dyDescent="0.5">
      <c r="A494" s="1" t="s">
        <v>39</v>
      </c>
      <c r="B494">
        <v>2010</v>
      </c>
      <c r="C494">
        <v>5988927</v>
      </c>
      <c r="D494" s="1" t="s">
        <v>25</v>
      </c>
      <c r="E494" s="1" t="s">
        <v>29</v>
      </c>
    </row>
    <row r="495" spans="1:5" x14ac:dyDescent="0.5">
      <c r="A495" s="1" t="s">
        <v>39</v>
      </c>
      <c r="B495">
        <v>2000</v>
      </c>
      <c r="C495">
        <v>5595211</v>
      </c>
      <c r="D495" s="1" t="s">
        <v>25</v>
      </c>
      <c r="E495" s="1" t="s">
        <v>29</v>
      </c>
    </row>
    <row r="496" spans="1:5" x14ac:dyDescent="0.5">
      <c r="A496" s="1" t="s">
        <v>39</v>
      </c>
      <c r="B496">
        <v>1990</v>
      </c>
      <c r="C496">
        <v>5117073</v>
      </c>
      <c r="D496" s="1" t="s">
        <v>25</v>
      </c>
      <c r="E496" s="1" t="s">
        <v>29</v>
      </c>
    </row>
    <row r="497" spans="1:5" x14ac:dyDescent="0.5">
      <c r="A497" s="1" t="s">
        <v>39</v>
      </c>
      <c r="B497">
        <v>1980</v>
      </c>
      <c r="C497">
        <v>4916766</v>
      </c>
      <c r="D497" s="1" t="s">
        <v>25</v>
      </c>
      <c r="E497" s="1" t="s">
        <v>29</v>
      </c>
    </row>
    <row r="498" spans="1:5" x14ac:dyDescent="0.5">
      <c r="A498" s="1" t="s">
        <v>39</v>
      </c>
      <c r="B498">
        <v>1970</v>
      </c>
      <c r="C498">
        <v>4677623</v>
      </c>
      <c r="D498" s="1" t="s">
        <v>25</v>
      </c>
      <c r="E498" s="1" t="s">
        <v>29</v>
      </c>
    </row>
    <row r="499" spans="1:5" x14ac:dyDescent="0.5">
      <c r="A499" s="1" t="s">
        <v>39</v>
      </c>
      <c r="B499">
        <v>1960</v>
      </c>
      <c r="C499">
        <v>4319813</v>
      </c>
      <c r="D499" s="1" t="s">
        <v>25</v>
      </c>
      <c r="E499" s="1" t="s">
        <v>29</v>
      </c>
    </row>
    <row r="500" spans="1:5" x14ac:dyDescent="0.5">
      <c r="A500" s="1" t="s">
        <v>39</v>
      </c>
      <c r="B500">
        <v>1950</v>
      </c>
      <c r="C500">
        <v>3954653</v>
      </c>
      <c r="D500" s="1" t="s">
        <v>25</v>
      </c>
      <c r="E500" s="1" t="s">
        <v>29</v>
      </c>
    </row>
    <row r="501" spans="1:5" x14ac:dyDescent="0.5">
      <c r="A501" s="1" t="s">
        <v>39</v>
      </c>
      <c r="B501">
        <v>1940</v>
      </c>
      <c r="C501">
        <v>3784664</v>
      </c>
      <c r="D501" s="1" t="s">
        <v>25</v>
      </c>
      <c r="E501" s="1" t="s">
        <v>29</v>
      </c>
    </row>
    <row r="502" spans="1:5" x14ac:dyDescent="0.5">
      <c r="A502" s="1" t="s">
        <v>39</v>
      </c>
      <c r="B502">
        <v>1930</v>
      </c>
      <c r="C502">
        <v>3629367</v>
      </c>
      <c r="D502" s="1" t="s">
        <v>25</v>
      </c>
      <c r="E502" s="1" t="s">
        <v>29</v>
      </c>
    </row>
    <row r="503" spans="1:5" x14ac:dyDescent="0.5">
      <c r="A503" s="1" t="s">
        <v>39</v>
      </c>
      <c r="B503">
        <v>1920</v>
      </c>
      <c r="C503">
        <v>3404055</v>
      </c>
      <c r="D503" s="1" t="s">
        <v>25</v>
      </c>
      <c r="E503" s="1" t="s">
        <v>29</v>
      </c>
    </row>
    <row r="504" spans="1:5" x14ac:dyDescent="0.5">
      <c r="A504" s="1" t="s">
        <v>39</v>
      </c>
      <c r="B504">
        <v>1910</v>
      </c>
      <c r="C504">
        <v>3293335</v>
      </c>
      <c r="D504" s="1" t="s">
        <v>25</v>
      </c>
      <c r="E504" s="1" t="s">
        <v>29</v>
      </c>
    </row>
    <row r="505" spans="1:5" x14ac:dyDescent="0.5">
      <c r="A505" s="1" t="s">
        <v>39</v>
      </c>
      <c r="B505">
        <v>1900</v>
      </c>
      <c r="C505">
        <v>3106665</v>
      </c>
      <c r="D505" s="1" t="s">
        <v>25</v>
      </c>
      <c r="E505" s="1" t="s">
        <v>29</v>
      </c>
    </row>
    <row r="506" spans="1:5" x14ac:dyDescent="0.5">
      <c r="A506" s="1" t="s">
        <v>39</v>
      </c>
      <c r="B506">
        <v>1890</v>
      </c>
      <c r="C506">
        <v>2679185</v>
      </c>
      <c r="D506" s="1" t="s">
        <v>25</v>
      </c>
      <c r="E506" s="1" t="s">
        <v>29</v>
      </c>
    </row>
    <row r="507" spans="1:5" x14ac:dyDescent="0.5">
      <c r="A507" s="1" t="s">
        <v>39</v>
      </c>
      <c r="B507">
        <v>1880</v>
      </c>
      <c r="C507">
        <v>2168380</v>
      </c>
      <c r="D507" s="1" t="s">
        <v>25</v>
      </c>
      <c r="E507" s="1" t="s">
        <v>29</v>
      </c>
    </row>
    <row r="508" spans="1:5" x14ac:dyDescent="0.5">
      <c r="A508" s="1" t="s">
        <v>39</v>
      </c>
      <c r="B508">
        <v>1870</v>
      </c>
      <c r="C508">
        <v>1721295</v>
      </c>
      <c r="D508" s="1" t="s">
        <v>25</v>
      </c>
      <c r="E508" s="1" t="s">
        <v>29</v>
      </c>
    </row>
    <row r="509" spans="1:5" x14ac:dyDescent="0.5">
      <c r="A509" s="1" t="s">
        <v>39</v>
      </c>
      <c r="B509">
        <v>1860</v>
      </c>
      <c r="C509">
        <v>1182012</v>
      </c>
      <c r="D509" s="1" t="s">
        <v>25</v>
      </c>
      <c r="E509" s="1" t="s">
        <v>29</v>
      </c>
    </row>
    <row r="510" spans="1:5" x14ac:dyDescent="0.5">
      <c r="A510" s="1" t="s">
        <v>39</v>
      </c>
      <c r="B510">
        <v>1850</v>
      </c>
      <c r="C510">
        <v>682044</v>
      </c>
      <c r="D510" s="1" t="s">
        <v>25</v>
      </c>
      <c r="E510" s="1" t="s">
        <v>29</v>
      </c>
    </row>
    <row r="511" spans="1:5" x14ac:dyDescent="0.5">
      <c r="A511" s="1" t="s">
        <v>39</v>
      </c>
      <c r="B511">
        <v>1840</v>
      </c>
      <c r="C511">
        <v>383702</v>
      </c>
      <c r="D511" s="1" t="s">
        <v>25</v>
      </c>
      <c r="E511" s="1" t="s">
        <v>29</v>
      </c>
    </row>
    <row r="512" spans="1:5" x14ac:dyDescent="0.5">
      <c r="A512" s="1" t="s">
        <v>39</v>
      </c>
      <c r="B512">
        <v>1830</v>
      </c>
      <c r="C512">
        <v>140455</v>
      </c>
      <c r="D512" s="1" t="s">
        <v>25</v>
      </c>
      <c r="E512" s="1" t="s">
        <v>29</v>
      </c>
    </row>
    <row r="513" spans="1:5" x14ac:dyDescent="0.5">
      <c r="A513" s="1" t="s">
        <v>39</v>
      </c>
      <c r="B513">
        <v>1820</v>
      </c>
      <c r="C513">
        <v>66586</v>
      </c>
      <c r="D513" s="1" t="s">
        <v>25</v>
      </c>
      <c r="E513" s="1" t="s">
        <v>29</v>
      </c>
    </row>
    <row r="514" spans="1:5" x14ac:dyDescent="0.5">
      <c r="A514" s="1" t="s">
        <v>39</v>
      </c>
      <c r="B514">
        <v>1810</v>
      </c>
      <c r="C514">
        <v>19783</v>
      </c>
      <c r="D514" s="1" t="s">
        <v>25</v>
      </c>
      <c r="E514" s="1" t="s">
        <v>29</v>
      </c>
    </row>
    <row r="515" spans="1:5" x14ac:dyDescent="0.5">
      <c r="A515" s="1" t="s">
        <v>40</v>
      </c>
      <c r="B515">
        <v>2010</v>
      </c>
      <c r="C515">
        <v>989415</v>
      </c>
      <c r="D515" s="1" t="s">
        <v>7</v>
      </c>
      <c r="E515" s="1" t="s">
        <v>10</v>
      </c>
    </row>
    <row r="516" spans="1:5" x14ac:dyDescent="0.5">
      <c r="A516" s="1" t="s">
        <v>40</v>
      </c>
      <c r="B516">
        <v>2000</v>
      </c>
      <c r="C516">
        <v>902195</v>
      </c>
      <c r="D516" s="1" t="s">
        <v>7</v>
      </c>
      <c r="E516" s="1" t="s">
        <v>10</v>
      </c>
    </row>
    <row r="517" spans="1:5" x14ac:dyDescent="0.5">
      <c r="A517" s="1" t="s">
        <v>40</v>
      </c>
      <c r="B517">
        <v>1990</v>
      </c>
      <c r="C517">
        <v>799065</v>
      </c>
      <c r="D517" s="1" t="s">
        <v>7</v>
      </c>
      <c r="E517" s="1" t="s">
        <v>10</v>
      </c>
    </row>
    <row r="518" spans="1:5" x14ac:dyDescent="0.5">
      <c r="A518" s="1" t="s">
        <v>40</v>
      </c>
      <c r="B518">
        <v>1980</v>
      </c>
      <c r="C518">
        <v>786690</v>
      </c>
      <c r="D518" s="1" t="s">
        <v>7</v>
      </c>
      <c r="E518" s="1" t="s">
        <v>10</v>
      </c>
    </row>
    <row r="519" spans="1:5" x14ac:dyDescent="0.5">
      <c r="A519" s="1" t="s">
        <v>40</v>
      </c>
      <c r="B519">
        <v>1970</v>
      </c>
      <c r="C519">
        <v>694409</v>
      </c>
      <c r="D519" s="1" t="s">
        <v>7</v>
      </c>
      <c r="E519" s="1" t="s">
        <v>10</v>
      </c>
    </row>
    <row r="520" spans="1:5" x14ac:dyDescent="0.5">
      <c r="A520" s="1" t="s">
        <v>40</v>
      </c>
      <c r="B520">
        <v>1960</v>
      </c>
      <c r="C520">
        <v>674767</v>
      </c>
      <c r="D520" s="1" t="s">
        <v>7</v>
      </c>
      <c r="E520" s="1" t="s">
        <v>10</v>
      </c>
    </row>
    <row r="521" spans="1:5" x14ac:dyDescent="0.5">
      <c r="A521" s="1" t="s">
        <v>40</v>
      </c>
      <c r="B521">
        <v>1950</v>
      </c>
      <c r="C521">
        <v>591024</v>
      </c>
      <c r="D521" s="1" t="s">
        <v>7</v>
      </c>
      <c r="E521" s="1" t="s">
        <v>10</v>
      </c>
    </row>
    <row r="522" spans="1:5" x14ac:dyDescent="0.5">
      <c r="A522" s="1" t="s">
        <v>40</v>
      </c>
      <c r="B522">
        <v>1940</v>
      </c>
      <c r="C522">
        <v>559456</v>
      </c>
      <c r="D522" s="1" t="s">
        <v>7</v>
      </c>
      <c r="E522" s="1" t="s">
        <v>10</v>
      </c>
    </row>
    <row r="523" spans="1:5" x14ac:dyDescent="0.5">
      <c r="A523" s="1" t="s">
        <v>40</v>
      </c>
      <c r="B523">
        <v>1930</v>
      </c>
      <c r="C523">
        <v>537606</v>
      </c>
      <c r="D523" s="1" t="s">
        <v>7</v>
      </c>
      <c r="E523" s="1" t="s">
        <v>10</v>
      </c>
    </row>
    <row r="524" spans="1:5" x14ac:dyDescent="0.5">
      <c r="A524" s="1" t="s">
        <v>40</v>
      </c>
      <c r="B524">
        <v>1920</v>
      </c>
      <c r="C524">
        <v>548889</v>
      </c>
      <c r="D524" s="1" t="s">
        <v>7</v>
      </c>
      <c r="E524" s="1" t="s">
        <v>10</v>
      </c>
    </row>
    <row r="525" spans="1:5" x14ac:dyDescent="0.5">
      <c r="A525" s="1" t="s">
        <v>40</v>
      </c>
      <c r="B525">
        <v>1910</v>
      </c>
      <c r="C525">
        <v>376053</v>
      </c>
      <c r="D525" s="1" t="s">
        <v>7</v>
      </c>
      <c r="E525" s="1" t="s">
        <v>10</v>
      </c>
    </row>
    <row r="526" spans="1:5" x14ac:dyDescent="0.5">
      <c r="A526" s="1" t="s">
        <v>40</v>
      </c>
      <c r="B526">
        <v>1900</v>
      </c>
      <c r="C526">
        <v>243329</v>
      </c>
      <c r="D526" s="1" t="s">
        <v>7</v>
      </c>
      <c r="E526" s="1" t="s">
        <v>10</v>
      </c>
    </row>
    <row r="527" spans="1:5" x14ac:dyDescent="0.5">
      <c r="A527" s="1" t="s">
        <v>40</v>
      </c>
      <c r="B527">
        <v>1890</v>
      </c>
      <c r="C527">
        <v>142924</v>
      </c>
      <c r="D527" s="1" t="s">
        <v>7</v>
      </c>
      <c r="E527" s="1" t="s">
        <v>10</v>
      </c>
    </row>
    <row r="528" spans="1:5" x14ac:dyDescent="0.5">
      <c r="A528" s="1" t="s">
        <v>40</v>
      </c>
      <c r="B528">
        <v>1880</v>
      </c>
      <c r="C528">
        <v>39159</v>
      </c>
      <c r="D528" s="1" t="s">
        <v>7</v>
      </c>
      <c r="E528" s="1" t="s">
        <v>10</v>
      </c>
    </row>
    <row r="529" spans="1:5" x14ac:dyDescent="0.5">
      <c r="A529" s="1" t="s">
        <v>40</v>
      </c>
      <c r="B529">
        <v>1870</v>
      </c>
      <c r="C529">
        <v>20595</v>
      </c>
      <c r="D529" s="1" t="s">
        <v>7</v>
      </c>
      <c r="E529" s="1" t="s">
        <v>10</v>
      </c>
    </row>
    <row r="530" spans="1:5" x14ac:dyDescent="0.5">
      <c r="A530" s="1" t="s">
        <v>41</v>
      </c>
      <c r="B530">
        <v>2010</v>
      </c>
      <c r="C530">
        <v>1826341</v>
      </c>
      <c r="D530" s="1" t="s">
        <v>25</v>
      </c>
      <c r="E530" s="1" t="s">
        <v>29</v>
      </c>
    </row>
    <row r="531" spans="1:5" x14ac:dyDescent="0.5">
      <c r="A531" s="1" t="s">
        <v>41</v>
      </c>
      <c r="B531">
        <v>2000</v>
      </c>
      <c r="C531">
        <v>1711263</v>
      </c>
      <c r="D531" s="1" t="s">
        <v>25</v>
      </c>
      <c r="E531" s="1" t="s">
        <v>29</v>
      </c>
    </row>
    <row r="532" spans="1:5" x14ac:dyDescent="0.5">
      <c r="A532" s="1" t="s">
        <v>41</v>
      </c>
      <c r="B532">
        <v>1990</v>
      </c>
      <c r="C532">
        <v>1578385</v>
      </c>
      <c r="D532" s="1" t="s">
        <v>25</v>
      </c>
      <c r="E532" s="1" t="s">
        <v>29</v>
      </c>
    </row>
    <row r="533" spans="1:5" x14ac:dyDescent="0.5">
      <c r="A533" s="1" t="s">
        <v>41</v>
      </c>
      <c r="B533">
        <v>1980</v>
      </c>
      <c r="C533">
        <v>1569825</v>
      </c>
      <c r="D533" s="1" t="s">
        <v>25</v>
      </c>
      <c r="E533" s="1" t="s">
        <v>29</v>
      </c>
    </row>
    <row r="534" spans="1:5" x14ac:dyDescent="0.5">
      <c r="A534" s="1" t="s">
        <v>41</v>
      </c>
      <c r="B534">
        <v>1970</v>
      </c>
      <c r="C534">
        <v>1485333</v>
      </c>
      <c r="D534" s="1" t="s">
        <v>25</v>
      </c>
      <c r="E534" s="1" t="s">
        <v>29</v>
      </c>
    </row>
    <row r="535" spans="1:5" x14ac:dyDescent="0.5">
      <c r="A535" s="1" t="s">
        <v>41</v>
      </c>
      <c r="B535">
        <v>1960</v>
      </c>
      <c r="C535">
        <v>1411330</v>
      </c>
      <c r="D535" s="1" t="s">
        <v>25</v>
      </c>
      <c r="E535" s="1" t="s">
        <v>29</v>
      </c>
    </row>
    <row r="536" spans="1:5" x14ac:dyDescent="0.5">
      <c r="A536" s="1" t="s">
        <v>41</v>
      </c>
      <c r="B536">
        <v>1950</v>
      </c>
      <c r="C536">
        <v>1325510</v>
      </c>
      <c r="D536" s="1" t="s">
        <v>25</v>
      </c>
      <c r="E536" s="1" t="s">
        <v>29</v>
      </c>
    </row>
    <row r="537" spans="1:5" x14ac:dyDescent="0.5">
      <c r="A537" s="1" t="s">
        <v>41</v>
      </c>
      <c r="B537">
        <v>1940</v>
      </c>
      <c r="C537">
        <v>1315834</v>
      </c>
      <c r="D537" s="1" t="s">
        <v>25</v>
      </c>
      <c r="E537" s="1" t="s">
        <v>29</v>
      </c>
    </row>
    <row r="538" spans="1:5" x14ac:dyDescent="0.5">
      <c r="A538" s="1" t="s">
        <v>41</v>
      </c>
      <c r="B538">
        <v>1930</v>
      </c>
      <c r="C538">
        <v>1377963</v>
      </c>
      <c r="D538" s="1" t="s">
        <v>25</v>
      </c>
      <c r="E538" s="1" t="s">
        <v>29</v>
      </c>
    </row>
    <row r="539" spans="1:5" x14ac:dyDescent="0.5">
      <c r="A539" s="1" t="s">
        <v>41</v>
      </c>
      <c r="B539">
        <v>1920</v>
      </c>
      <c r="C539">
        <v>1296372</v>
      </c>
      <c r="D539" s="1" t="s">
        <v>25</v>
      </c>
      <c r="E539" s="1" t="s">
        <v>29</v>
      </c>
    </row>
    <row r="540" spans="1:5" x14ac:dyDescent="0.5">
      <c r="A540" s="1" t="s">
        <v>41</v>
      </c>
      <c r="B540">
        <v>1910</v>
      </c>
      <c r="C540">
        <v>1192214</v>
      </c>
      <c r="D540" s="1" t="s">
        <v>25</v>
      </c>
      <c r="E540" s="1" t="s">
        <v>29</v>
      </c>
    </row>
    <row r="541" spans="1:5" x14ac:dyDescent="0.5">
      <c r="A541" s="1" t="s">
        <v>41</v>
      </c>
      <c r="B541">
        <v>1900</v>
      </c>
      <c r="C541">
        <v>1066300</v>
      </c>
      <c r="D541" s="1" t="s">
        <v>25</v>
      </c>
      <c r="E541" s="1" t="s">
        <v>29</v>
      </c>
    </row>
    <row r="542" spans="1:5" x14ac:dyDescent="0.5">
      <c r="A542" s="1" t="s">
        <v>41</v>
      </c>
      <c r="B542">
        <v>1890</v>
      </c>
      <c r="C542">
        <v>1062656</v>
      </c>
      <c r="D542" s="1" t="s">
        <v>25</v>
      </c>
      <c r="E542" s="1" t="s">
        <v>29</v>
      </c>
    </row>
    <row r="543" spans="1:5" x14ac:dyDescent="0.5">
      <c r="A543" s="1" t="s">
        <v>41</v>
      </c>
      <c r="B543">
        <v>1880</v>
      </c>
      <c r="C543">
        <v>452402</v>
      </c>
      <c r="D543" s="1" t="s">
        <v>25</v>
      </c>
      <c r="E543" s="1" t="s">
        <v>29</v>
      </c>
    </row>
    <row r="544" spans="1:5" x14ac:dyDescent="0.5">
      <c r="A544" s="1" t="s">
        <v>41</v>
      </c>
      <c r="B544">
        <v>1870</v>
      </c>
      <c r="C544">
        <v>122993</v>
      </c>
      <c r="D544" s="1" t="s">
        <v>25</v>
      </c>
      <c r="E544" s="1" t="s">
        <v>29</v>
      </c>
    </row>
    <row r="545" spans="1:5" x14ac:dyDescent="0.5">
      <c r="A545" s="1" t="s">
        <v>41</v>
      </c>
      <c r="B545">
        <v>1860</v>
      </c>
      <c r="C545">
        <v>28841</v>
      </c>
      <c r="D545" s="1" t="s">
        <v>25</v>
      </c>
      <c r="E545" s="1" t="s">
        <v>29</v>
      </c>
    </row>
    <row r="546" spans="1:5" x14ac:dyDescent="0.5">
      <c r="A546" s="1" t="s">
        <v>42</v>
      </c>
      <c r="B546">
        <v>2010</v>
      </c>
      <c r="C546">
        <v>2700551</v>
      </c>
      <c r="D546" s="1" t="s">
        <v>7</v>
      </c>
      <c r="E546" s="1" t="s">
        <v>10</v>
      </c>
    </row>
    <row r="547" spans="1:5" x14ac:dyDescent="0.5">
      <c r="A547" s="1" t="s">
        <v>42</v>
      </c>
      <c r="B547">
        <v>2000</v>
      </c>
      <c r="C547">
        <v>1998257</v>
      </c>
      <c r="D547" s="1" t="s">
        <v>7</v>
      </c>
      <c r="E547" s="1" t="s">
        <v>10</v>
      </c>
    </row>
    <row r="548" spans="1:5" x14ac:dyDescent="0.5">
      <c r="A548" s="1" t="s">
        <v>42</v>
      </c>
      <c r="B548">
        <v>1990</v>
      </c>
      <c r="C548">
        <v>1201833</v>
      </c>
      <c r="D548" s="1" t="s">
        <v>7</v>
      </c>
      <c r="E548" s="1" t="s">
        <v>10</v>
      </c>
    </row>
    <row r="549" spans="1:5" x14ac:dyDescent="0.5">
      <c r="A549" s="1" t="s">
        <v>42</v>
      </c>
      <c r="B549">
        <v>1980</v>
      </c>
      <c r="C549">
        <v>800508</v>
      </c>
      <c r="D549" s="1" t="s">
        <v>7</v>
      </c>
      <c r="E549" s="1" t="s">
        <v>10</v>
      </c>
    </row>
    <row r="550" spans="1:5" x14ac:dyDescent="0.5">
      <c r="A550" s="1" t="s">
        <v>42</v>
      </c>
      <c r="B550">
        <v>1970</v>
      </c>
      <c r="C550">
        <v>488738</v>
      </c>
      <c r="D550" s="1" t="s">
        <v>7</v>
      </c>
      <c r="E550" s="1" t="s">
        <v>10</v>
      </c>
    </row>
    <row r="551" spans="1:5" x14ac:dyDescent="0.5">
      <c r="A551" s="1" t="s">
        <v>42</v>
      </c>
      <c r="B551">
        <v>1960</v>
      </c>
      <c r="C551">
        <v>285278</v>
      </c>
      <c r="D551" s="1" t="s">
        <v>7</v>
      </c>
      <c r="E551" s="1" t="s">
        <v>10</v>
      </c>
    </row>
    <row r="552" spans="1:5" x14ac:dyDescent="0.5">
      <c r="A552" s="1" t="s">
        <v>42</v>
      </c>
      <c r="B552">
        <v>1950</v>
      </c>
      <c r="C552">
        <v>160083</v>
      </c>
      <c r="D552" s="1" t="s">
        <v>7</v>
      </c>
      <c r="E552" s="1" t="s">
        <v>10</v>
      </c>
    </row>
    <row r="553" spans="1:5" x14ac:dyDescent="0.5">
      <c r="A553" s="1" t="s">
        <v>42</v>
      </c>
      <c r="B553">
        <v>1940</v>
      </c>
      <c r="C553">
        <v>110247</v>
      </c>
      <c r="D553" s="1" t="s">
        <v>7</v>
      </c>
      <c r="E553" s="1" t="s">
        <v>10</v>
      </c>
    </row>
    <row r="554" spans="1:5" x14ac:dyDescent="0.5">
      <c r="A554" s="1" t="s">
        <v>42</v>
      </c>
      <c r="B554">
        <v>1930</v>
      </c>
      <c r="C554">
        <v>91058</v>
      </c>
      <c r="D554" s="1" t="s">
        <v>7</v>
      </c>
      <c r="E554" s="1" t="s">
        <v>10</v>
      </c>
    </row>
    <row r="555" spans="1:5" x14ac:dyDescent="0.5">
      <c r="A555" s="1" t="s">
        <v>42</v>
      </c>
      <c r="B555">
        <v>1920</v>
      </c>
      <c r="C555">
        <v>77407</v>
      </c>
      <c r="D555" s="1" t="s">
        <v>7</v>
      </c>
      <c r="E555" s="1" t="s">
        <v>10</v>
      </c>
    </row>
    <row r="556" spans="1:5" x14ac:dyDescent="0.5">
      <c r="A556" s="1" t="s">
        <v>42</v>
      </c>
      <c r="B556">
        <v>1910</v>
      </c>
      <c r="C556">
        <v>81875</v>
      </c>
      <c r="D556" s="1" t="s">
        <v>7</v>
      </c>
      <c r="E556" s="1" t="s">
        <v>10</v>
      </c>
    </row>
    <row r="557" spans="1:5" x14ac:dyDescent="0.5">
      <c r="A557" s="1" t="s">
        <v>42</v>
      </c>
      <c r="B557">
        <v>1900</v>
      </c>
      <c r="C557">
        <v>42335</v>
      </c>
      <c r="D557" s="1" t="s">
        <v>7</v>
      </c>
      <c r="E557" s="1" t="s">
        <v>10</v>
      </c>
    </row>
    <row r="558" spans="1:5" x14ac:dyDescent="0.5">
      <c r="A558" s="1" t="s">
        <v>42</v>
      </c>
      <c r="B558">
        <v>1890</v>
      </c>
      <c r="C558">
        <v>47355</v>
      </c>
      <c r="D558" s="1" t="s">
        <v>7</v>
      </c>
      <c r="E558" s="1" t="s">
        <v>10</v>
      </c>
    </row>
    <row r="559" spans="1:5" x14ac:dyDescent="0.5">
      <c r="A559" s="1" t="s">
        <v>42</v>
      </c>
      <c r="B559">
        <v>1880</v>
      </c>
      <c r="C559">
        <v>62266</v>
      </c>
      <c r="D559" s="1" t="s">
        <v>7</v>
      </c>
      <c r="E559" s="1" t="s">
        <v>10</v>
      </c>
    </row>
    <row r="560" spans="1:5" x14ac:dyDescent="0.5">
      <c r="A560" s="1" t="s">
        <v>42</v>
      </c>
      <c r="B560">
        <v>1870</v>
      </c>
      <c r="C560">
        <v>42491</v>
      </c>
      <c r="D560" s="1" t="s">
        <v>7</v>
      </c>
      <c r="E560" s="1" t="s">
        <v>10</v>
      </c>
    </row>
    <row r="561" spans="1:5" x14ac:dyDescent="0.5">
      <c r="A561" s="1" t="s">
        <v>42</v>
      </c>
      <c r="B561">
        <v>1860</v>
      </c>
      <c r="C561">
        <v>6857</v>
      </c>
      <c r="D561" s="1" t="s">
        <v>7</v>
      </c>
      <c r="E561" s="1" t="s">
        <v>10</v>
      </c>
    </row>
    <row r="562" spans="1:5" x14ac:dyDescent="0.5">
      <c r="A562" s="1" t="s">
        <v>43</v>
      </c>
      <c r="B562">
        <v>2010</v>
      </c>
      <c r="C562">
        <v>1316470</v>
      </c>
      <c r="D562" s="1" t="s">
        <v>16</v>
      </c>
      <c r="E562" s="1" t="s">
        <v>17</v>
      </c>
    </row>
    <row r="563" spans="1:5" x14ac:dyDescent="0.5">
      <c r="A563" s="1" t="s">
        <v>43</v>
      </c>
      <c r="B563">
        <v>2000</v>
      </c>
      <c r="C563">
        <v>1235786</v>
      </c>
      <c r="D563" s="1" t="s">
        <v>16</v>
      </c>
      <c r="E563" s="1" t="s">
        <v>17</v>
      </c>
    </row>
    <row r="564" spans="1:5" x14ac:dyDescent="0.5">
      <c r="A564" s="1" t="s">
        <v>43</v>
      </c>
      <c r="B564">
        <v>1990</v>
      </c>
      <c r="C564">
        <v>1109252</v>
      </c>
      <c r="D564" s="1" t="s">
        <v>16</v>
      </c>
      <c r="E564" s="1" t="s">
        <v>17</v>
      </c>
    </row>
    <row r="565" spans="1:5" x14ac:dyDescent="0.5">
      <c r="A565" s="1" t="s">
        <v>43</v>
      </c>
      <c r="B565">
        <v>1980</v>
      </c>
      <c r="C565">
        <v>920610</v>
      </c>
      <c r="D565" s="1" t="s">
        <v>16</v>
      </c>
      <c r="E565" s="1" t="s">
        <v>17</v>
      </c>
    </row>
    <row r="566" spans="1:5" x14ac:dyDescent="0.5">
      <c r="A566" s="1" t="s">
        <v>43</v>
      </c>
      <c r="B566">
        <v>1970</v>
      </c>
      <c r="C566">
        <v>737681</v>
      </c>
      <c r="D566" s="1" t="s">
        <v>16</v>
      </c>
      <c r="E566" s="1" t="s">
        <v>17</v>
      </c>
    </row>
    <row r="567" spans="1:5" x14ac:dyDescent="0.5">
      <c r="A567" s="1" t="s">
        <v>43</v>
      </c>
      <c r="B567">
        <v>1960</v>
      </c>
      <c r="C567">
        <v>606921</v>
      </c>
      <c r="D567" s="1" t="s">
        <v>16</v>
      </c>
      <c r="E567" s="1" t="s">
        <v>17</v>
      </c>
    </row>
    <row r="568" spans="1:5" x14ac:dyDescent="0.5">
      <c r="A568" s="1" t="s">
        <v>43</v>
      </c>
      <c r="B568">
        <v>1950</v>
      </c>
      <c r="C568">
        <v>533242</v>
      </c>
      <c r="D568" s="1" t="s">
        <v>16</v>
      </c>
      <c r="E568" s="1" t="s">
        <v>17</v>
      </c>
    </row>
    <row r="569" spans="1:5" x14ac:dyDescent="0.5">
      <c r="A569" s="1" t="s">
        <v>43</v>
      </c>
      <c r="B569">
        <v>1940</v>
      </c>
      <c r="C569">
        <v>491524</v>
      </c>
      <c r="D569" s="1" t="s">
        <v>16</v>
      </c>
      <c r="E569" s="1" t="s">
        <v>17</v>
      </c>
    </row>
    <row r="570" spans="1:5" x14ac:dyDescent="0.5">
      <c r="A570" s="1" t="s">
        <v>43</v>
      </c>
      <c r="B570">
        <v>1930</v>
      </c>
      <c r="C570">
        <v>465293</v>
      </c>
      <c r="D570" s="1" t="s">
        <v>16</v>
      </c>
      <c r="E570" s="1" t="s">
        <v>17</v>
      </c>
    </row>
    <row r="571" spans="1:5" x14ac:dyDescent="0.5">
      <c r="A571" s="1" t="s">
        <v>43</v>
      </c>
      <c r="B571">
        <v>1920</v>
      </c>
      <c r="C571">
        <v>443083</v>
      </c>
      <c r="D571" s="1" t="s">
        <v>16</v>
      </c>
      <c r="E571" s="1" t="s">
        <v>17</v>
      </c>
    </row>
    <row r="572" spans="1:5" x14ac:dyDescent="0.5">
      <c r="A572" s="1" t="s">
        <v>43</v>
      </c>
      <c r="B572">
        <v>1910</v>
      </c>
      <c r="C572">
        <v>430572</v>
      </c>
      <c r="D572" s="1" t="s">
        <v>16</v>
      </c>
      <c r="E572" s="1" t="s">
        <v>17</v>
      </c>
    </row>
    <row r="573" spans="1:5" x14ac:dyDescent="0.5">
      <c r="A573" s="1" t="s">
        <v>43</v>
      </c>
      <c r="B573">
        <v>1900</v>
      </c>
      <c r="C573">
        <v>411588</v>
      </c>
      <c r="D573" s="1" t="s">
        <v>16</v>
      </c>
      <c r="E573" s="1" t="s">
        <v>17</v>
      </c>
    </row>
    <row r="574" spans="1:5" x14ac:dyDescent="0.5">
      <c r="A574" s="1" t="s">
        <v>43</v>
      </c>
      <c r="B574">
        <v>1890</v>
      </c>
      <c r="C574">
        <v>376530</v>
      </c>
      <c r="D574" s="1" t="s">
        <v>16</v>
      </c>
      <c r="E574" s="1" t="s">
        <v>17</v>
      </c>
    </row>
    <row r="575" spans="1:5" x14ac:dyDescent="0.5">
      <c r="A575" s="1" t="s">
        <v>43</v>
      </c>
      <c r="B575">
        <v>1880</v>
      </c>
      <c r="C575">
        <v>346991</v>
      </c>
      <c r="D575" s="1" t="s">
        <v>16</v>
      </c>
      <c r="E575" s="1" t="s">
        <v>17</v>
      </c>
    </row>
    <row r="576" spans="1:5" x14ac:dyDescent="0.5">
      <c r="A576" s="1" t="s">
        <v>43</v>
      </c>
      <c r="B576">
        <v>1870</v>
      </c>
      <c r="C576">
        <v>318300</v>
      </c>
      <c r="D576" s="1" t="s">
        <v>16</v>
      </c>
      <c r="E576" s="1" t="s">
        <v>17</v>
      </c>
    </row>
    <row r="577" spans="1:5" x14ac:dyDescent="0.5">
      <c r="A577" s="1" t="s">
        <v>43</v>
      </c>
      <c r="B577">
        <v>1860</v>
      </c>
      <c r="C577">
        <v>326073</v>
      </c>
      <c r="D577" s="1" t="s">
        <v>16</v>
      </c>
      <c r="E577" s="1" t="s">
        <v>17</v>
      </c>
    </row>
    <row r="578" spans="1:5" x14ac:dyDescent="0.5">
      <c r="A578" s="1" t="s">
        <v>43</v>
      </c>
      <c r="B578">
        <v>1850</v>
      </c>
      <c r="C578">
        <v>317976</v>
      </c>
      <c r="D578" s="1" t="s">
        <v>16</v>
      </c>
      <c r="E578" s="1" t="s">
        <v>17</v>
      </c>
    </row>
    <row r="579" spans="1:5" x14ac:dyDescent="0.5">
      <c r="A579" s="1" t="s">
        <v>43</v>
      </c>
      <c r="B579">
        <v>1840</v>
      </c>
      <c r="C579">
        <v>284574</v>
      </c>
      <c r="D579" s="1" t="s">
        <v>16</v>
      </c>
      <c r="E579" s="1" t="s">
        <v>17</v>
      </c>
    </row>
    <row r="580" spans="1:5" x14ac:dyDescent="0.5">
      <c r="A580" s="1" t="s">
        <v>43</v>
      </c>
      <c r="B580">
        <v>1830</v>
      </c>
      <c r="C580">
        <v>269328</v>
      </c>
      <c r="D580" s="1" t="s">
        <v>16</v>
      </c>
      <c r="E580" s="1" t="s">
        <v>17</v>
      </c>
    </row>
    <row r="581" spans="1:5" x14ac:dyDescent="0.5">
      <c r="A581" s="1" t="s">
        <v>43</v>
      </c>
      <c r="B581">
        <v>1820</v>
      </c>
      <c r="C581">
        <v>244161</v>
      </c>
      <c r="D581" s="1" t="s">
        <v>16</v>
      </c>
      <c r="E581" s="1" t="s">
        <v>17</v>
      </c>
    </row>
    <row r="582" spans="1:5" x14ac:dyDescent="0.5">
      <c r="A582" s="1" t="s">
        <v>43</v>
      </c>
      <c r="B582">
        <v>1810</v>
      </c>
      <c r="C582">
        <v>214460</v>
      </c>
      <c r="D582" s="1" t="s">
        <v>16</v>
      </c>
      <c r="E582" s="1" t="s">
        <v>17</v>
      </c>
    </row>
    <row r="583" spans="1:5" x14ac:dyDescent="0.5">
      <c r="A583" s="1" t="s">
        <v>43</v>
      </c>
      <c r="B583">
        <v>1800</v>
      </c>
      <c r="C583">
        <v>183858</v>
      </c>
      <c r="D583" s="1" t="s">
        <v>16</v>
      </c>
      <c r="E583" s="1" t="s">
        <v>17</v>
      </c>
    </row>
    <row r="584" spans="1:5" x14ac:dyDescent="0.5">
      <c r="A584" s="1" t="s">
        <v>43</v>
      </c>
      <c r="B584">
        <v>1790</v>
      </c>
      <c r="C584">
        <v>141885</v>
      </c>
      <c r="D584" s="1" t="s">
        <v>16</v>
      </c>
      <c r="E584" s="1" t="s">
        <v>17</v>
      </c>
    </row>
    <row r="585" spans="1:5" x14ac:dyDescent="0.5">
      <c r="A585" s="1" t="s">
        <v>44</v>
      </c>
      <c r="B585">
        <v>2010</v>
      </c>
      <c r="C585">
        <v>8791894</v>
      </c>
      <c r="D585" s="1" t="s">
        <v>16</v>
      </c>
      <c r="E585" s="1" t="s">
        <v>45</v>
      </c>
    </row>
    <row r="586" spans="1:5" x14ac:dyDescent="0.5">
      <c r="A586" s="1" t="s">
        <v>44</v>
      </c>
      <c r="B586">
        <v>2000</v>
      </c>
      <c r="C586">
        <v>8414350</v>
      </c>
      <c r="D586" s="1" t="s">
        <v>16</v>
      </c>
      <c r="E586" s="1" t="s">
        <v>45</v>
      </c>
    </row>
    <row r="587" spans="1:5" x14ac:dyDescent="0.5">
      <c r="A587" s="1" t="s">
        <v>44</v>
      </c>
      <c r="B587">
        <v>1990</v>
      </c>
      <c r="C587">
        <v>7730188</v>
      </c>
      <c r="D587" s="1" t="s">
        <v>16</v>
      </c>
      <c r="E587" s="1" t="s">
        <v>45</v>
      </c>
    </row>
    <row r="588" spans="1:5" x14ac:dyDescent="0.5">
      <c r="A588" s="1" t="s">
        <v>44</v>
      </c>
      <c r="B588">
        <v>1980</v>
      </c>
      <c r="C588">
        <v>7365011</v>
      </c>
      <c r="D588" s="1" t="s">
        <v>16</v>
      </c>
      <c r="E588" s="1" t="s">
        <v>45</v>
      </c>
    </row>
    <row r="589" spans="1:5" x14ac:dyDescent="0.5">
      <c r="A589" s="1" t="s">
        <v>44</v>
      </c>
      <c r="B589">
        <v>1970</v>
      </c>
      <c r="C589">
        <v>7171112</v>
      </c>
      <c r="D589" s="1" t="s">
        <v>16</v>
      </c>
      <c r="E589" s="1" t="s">
        <v>45</v>
      </c>
    </row>
    <row r="590" spans="1:5" x14ac:dyDescent="0.5">
      <c r="A590" s="1" t="s">
        <v>44</v>
      </c>
      <c r="B590">
        <v>1960</v>
      </c>
      <c r="C590">
        <v>6066782</v>
      </c>
      <c r="D590" s="1" t="s">
        <v>16</v>
      </c>
      <c r="E590" s="1" t="s">
        <v>45</v>
      </c>
    </row>
    <row r="591" spans="1:5" x14ac:dyDescent="0.5">
      <c r="A591" s="1" t="s">
        <v>44</v>
      </c>
      <c r="B591">
        <v>1950</v>
      </c>
      <c r="C591">
        <v>4835329</v>
      </c>
      <c r="D591" s="1" t="s">
        <v>16</v>
      </c>
      <c r="E591" s="1" t="s">
        <v>45</v>
      </c>
    </row>
    <row r="592" spans="1:5" x14ac:dyDescent="0.5">
      <c r="A592" s="1" t="s">
        <v>44</v>
      </c>
      <c r="B592">
        <v>1940</v>
      </c>
      <c r="C592">
        <v>4160165</v>
      </c>
      <c r="D592" s="1" t="s">
        <v>16</v>
      </c>
      <c r="E592" s="1" t="s">
        <v>45</v>
      </c>
    </row>
    <row r="593" spans="1:5" x14ac:dyDescent="0.5">
      <c r="A593" s="1" t="s">
        <v>44</v>
      </c>
      <c r="B593">
        <v>1930</v>
      </c>
      <c r="C593">
        <v>4041334</v>
      </c>
      <c r="D593" s="1" t="s">
        <v>16</v>
      </c>
      <c r="E593" s="1" t="s">
        <v>45</v>
      </c>
    </row>
    <row r="594" spans="1:5" x14ac:dyDescent="0.5">
      <c r="A594" s="1" t="s">
        <v>44</v>
      </c>
      <c r="B594">
        <v>1920</v>
      </c>
      <c r="C594">
        <v>3155900</v>
      </c>
      <c r="D594" s="1" t="s">
        <v>16</v>
      </c>
      <c r="E594" s="1" t="s">
        <v>45</v>
      </c>
    </row>
    <row r="595" spans="1:5" x14ac:dyDescent="0.5">
      <c r="A595" s="1" t="s">
        <v>44</v>
      </c>
      <c r="B595">
        <v>1910</v>
      </c>
      <c r="C595">
        <v>2537167</v>
      </c>
      <c r="D595" s="1" t="s">
        <v>16</v>
      </c>
      <c r="E595" s="1" t="s">
        <v>45</v>
      </c>
    </row>
    <row r="596" spans="1:5" x14ac:dyDescent="0.5">
      <c r="A596" s="1" t="s">
        <v>44</v>
      </c>
      <c r="B596">
        <v>1900</v>
      </c>
      <c r="C596">
        <v>1883669</v>
      </c>
      <c r="D596" s="1" t="s">
        <v>16</v>
      </c>
      <c r="E596" s="1" t="s">
        <v>45</v>
      </c>
    </row>
    <row r="597" spans="1:5" x14ac:dyDescent="0.5">
      <c r="A597" s="1" t="s">
        <v>44</v>
      </c>
      <c r="B597">
        <v>1890</v>
      </c>
      <c r="C597">
        <v>1444933</v>
      </c>
      <c r="D597" s="1" t="s">
        <v>16</v>
      </c>
      <c r="E597" s="1" t="s">
        <v>45</v>
      </c>
    </row>
    <row r="598" spans="1:5" x14ac:dyDescent="0.5">
      <c r="A598" s="1" t="s">
        <v>44</v>
      </c>
      <c r="B598">
        <v>1880</v>
      </c>
      <c r="C598">
        <v>1131116</v>
      </c>
      <c r="D598" s="1" t="s">
        <v>16</v>
      </c>
      <c r="E598" s="1" t="s">
        <v>45</v>
      </c>
    </row>
    <row r="599" spans="1:5" x14ac:dyDescent="0.5">
      <c r="A599" s="1" t="s">
        <v>44</v>
      </c>
      <c r="B599">
        <v>1870</v>
      </c>
      <c r="C599">
        <v>906096</v>
      </c>
      <c r="D599" s="1" t="s">
        <v>16</v>
      </c>
      <c r="E599" s="1" t="s">
        <v>45</v>
      </c>
    </row>
    <row r="600" spans="1:5" x14ac:dyDescent="0.5">
      <c r="A600" s="1" t="s">
        <v>44</v>
      </c>
      <c r="B600">
        <v>1860</v>
      </c>
      <c r="C600">
        <v>672035</v>
      </c>
      <c r="D600" s="1" t="s">
        <v>16</v>
      </c>
      <c r="E600" s="1" t="s">
        <v>45</v>
      </c>
    </row>
    <row r="601" spans="1:5" x14ac:dyDescent="0.5">
      <c r="A601" s="1" t="s">
        <v>44</v>
      </c>
      <c r="B601">
        <v>1850</v>
      </c>
      <c r="C601">
        <v>489555</v>
      </c>
      <c r="D601" s="1" t="s">
        <v>16</v>
      </c>
      <c r="E601" s="1" t="s">
        <v>45</v>
      </c>
    </row>
    <row r="602" spans="1:5" x14ac:dyDescent="0.5">
      <c r="A602" s="1" t="s">
        <v>44</v>
      </c>
      <c r="B602">
        <v>1840</v>
      </c>
      <c r="C602">
        <v>373306</v>
      </c>
      <c r="D602" s="1" t="s">
        <v>16</v>
      </c>
      <c r="E602" s="1" t="s">
        <v>45</v>
      </c>
    </row>
    <row r="603" spans="1:5" x14ac:dyDescent="0.5">
      <c r="A603" s="1" t="s">
        <v>44</v>
      </c>
      <c r="B603">
        <v>1830</v>
      </c>
      <c r="C603">
        <v>320823</v>
      </c>
      <c r="D603" s="1" t="s">
        <v>16</v>
      </c>
      <c r="E603" s="1" t="s">
        <v>45</v>
      </c>
    </row>
    <row r="604" spans="1:5" x14ac:dyDescent="0.5">
      <c r="A604" s="1" t="s">
        <v>44</v>
      </c>
      <c r="B604">
        <v>1820</v>
      </c>
      <c r="C604">
        <v>277575</v>
      </c>
      <c r="D604" s="1" t="s">
        <v>16</v>
      </c>
      <c r="E604" s="1" t="s">
        <v>45</v>
      </c>
    </row>
    <row r="605" spans="1:5" x14ac:dyDescent="0.5">
      <c r="A605" s="1" t="s">
        <v>44</v>
      </c>
      <c r="B605">
        <v>1810</v>
      </c>
      <c r="C605">
        <v>245562</v>
      </c>
      <c r="D605" s="1" t="s">
        <v>16</v>
      </c>
      <c r="E605" s="1" t="s">
        <v>45</v>
      </c>
    </row>
    <row r="606" spans="1:5" x14ac:dyDescent="0.5">
      <c r="A606" s="1" t="s">
        <v>44</v>
      </c>
      <c r="B606">
        <v>1800</v>
      </c>
      <c r="C606">
        <v>211149</v>
      </c>
      <c r="D606" s="1" t="s">
        <v>16</v>
      </c>
      <c r="E606" s="1" t="s">
        <v>45</v>
      </c>
    </row>
    <row r="607" spans="1:5" x14ac:dyDescent="0.5">
      <c r="A607" s="1" t="s">
        <v>44</v>
      </c>
      <c r="B607">
        <v>1790</v>
      </c>
      <c r="C607">
        <v>184139</v>
      </c>
      <c r="D607" s="1" t="s">
        <v>16</v>
      </c>
      <c r="E607" s="1" t="s">
        <v>45</v>
      </c>
    </row>
    <row r="608" spans="1:5" x14ac:dyDescent="0.5">
      <c r="A608" s="1" t="s">
        <v>46</v>
      </c>
      <c r="B608">
        <v>2010</v>
      </c>
      <c r="C608">
        <v>2059179</v>
      </c>
      <c r="D608" s="1" t="s">
        <v>7</v>
      </c>
      <c r="E608" s="1" t="s">
        <v>10</v>
      </c>
    </row>
    <row r="609" spans="1:5" x14ac:dyDescent="0.5">
      <c r="A609" s="1" t="s">
        <v>46</v>
      </c>
      <c r="B609">
        <v>2000</v>
      </c>
      <c r="C609">
        <v>1819046</v>
      </c>
      <c r="D609" s="1" t="s">
        <v>7</v>
      </c>
      <c r="E609" s="1" t="s">
        <v>10</v>
      </c>
    </row>
    <row r="610" spans="1:5" x14ac:dyDescent="0.5">
      <c r="A610" s="1" t="s">
        <v>46</v>
      </c>
      <c r="B610">
        <v>1990</v>
      </c>
      <c r="C610">
        <v>1515069</v>
      </c>
      <c r="D610" s="1" t="s">
        <v>7</v>
      </c>
      <c r="E610" s="1" t="s">
        <v>10</v>
      </c>
    </row>
    <row r="611" spans="1:5" x14ac:dyDescent="0.5">
      <c r="A611" s="1" t="s">
        <v>46</v>
      </c>
      <c r="B611">
        <v>1980</v>
      </c>
      <c r="C611">
        <v>1303302</v>
      </c>
      <c r="D611" s="1" t="s">
        <v>7</v>
      </c>
      <c r="E611" s="1" t="s">
        <v>10</v>
      </c>
    </row>
    <row r="612" spans="1:5" x14ac:dyDescent="0.5">
      <c r="A612" s="1" t="s">
        <v>46</v>
      </c>
      <c r="B612">
        <v>1970</v>
      </c>
      <c r="C612">
        <v>1017055</v>
      </c>
      <c r="D612" s="1" t="s">
        <v>7</v>
      </c>
      <c r="E612" s="1" t="s">
        <v>10</v>
      </c>
    </row>
    <row r="613" spans="1:5" x14ac:dyDescent="0.5">
      <c r="A613" s="1" t="s">
        <v>46</v>
      </c>
      <c r="B613">
        <v>1960</v>
      </c>
      <c r="C613">
        <v>951023</v>
      </c>
      <c r="D613" s="1" t="s">
        <v>7</v>
      </c>
      <c r="E613" s="1" t="s">
        <v>10</v>
      </c>
    </row>
    <row r="614" spans="1:5" x14ac:dyDescent="0.5">
      <c r="A614" s="1" t="s">
        <v>46</v>
      </c>
      <c r="B614">
        <v>1950</v>
      </c>
      <c r="C614">
        <v>681187</v>
      </c>
      <c r="D614" s="1" t="s">
        <v>7</v>
      </c>
      <c r="E614" s="1" t="s">
        <v>10</v>
      </c>
    </row>
    <row r="615" spans="1:5" x14ac:dyDescent="0.5">
      <c r="A615" s="1" t="s">
        <v>46</v>
      </c>
      <c r="B615">
        <v>1940</v>
      </c>
      <c r="C615">
        <v>531818</v>
      </c>
      <c r="D615" s="1" t="s">
        <v>7</v>
      </c>
      <c r="E615" s="1" t="s">
        <v>10</v>
      </c>
    </row>
    <row r="616" spans="1:5" x14ac:dyDescent="0.5">
      <c r="A616" s="1" t="s">
        <v>46</v>
      </c>
      <c r="B616">
        <v>1930</v>
      </c>
      <c r="C616">
        <v>423317</v>
      </c>
      <c r="D616" s="1" t="s">
        <v>7</v>
      </c>
      <c r="E616" s="1" t="s">
        <v>10</v>
      </c>
    </row>
    <row r="617" spans="1:5" x14ac:dyDescent="0.5">
      <c r="A617" s="1" t="s">
        <v>46</v>
      </c>
      <c r="B617">
        <v>1920</v>
      </c>
      <c r="C617">
        <v>360350</v>
      </c>
      <c r="D617" s="1" t="s">
        <v>7</v>
      </c>
      <c r="E617" s="1" t="s">
        <v>10</v>
      </c>
    </row>
    <row r="618" spans="1:5" x14ac:dyDescent="0.5">
      <c r="A618" s="1" t="s">
        <v>46</v>
      </c>
      <c r="B618">
        <v>1910</v>
      </c>
      <c r="C618">
        <v>327301</v>
      </c>
      <c r="D618" s="1" t="s">
        <v>7</v>
      </c>
      <c r="E618" s="1" t="s">
        <v>10</v>
      </c>
    </row>
    <row r="619" spans="1:5" x14ac:dyDescent="0.5">
      <c r="A619" s="1" t="s">
        <v>46</v>
      </c>
      <c r="B619">
        <v>1900</v>
      </c>
      <c r="C619">
        <v>195310</v>
      </c>
      <c r="D619" s="1" t="s">
        <v>7</v>
      </c>
      <c r="E619" s="1" t="s">
        <v>10</v>
      </c>
    </row>
    <row r="620" spans="1:5" x14ac:dyDescent="0.5">
      <c r="A620" s="1" t="s">
        <v>46</v>
      </c>
      <c r="B620">
        <v>1890</v>
      </c>
      <c r="C620">
        <v>160282</v>
      </c>
      <c r="D620" s="1" t="s">
        <v>7</v>
      </c>
      <c r="E620" s="1" t="s">
        <v>10</v>
      </c>
    </row>
    <row r="621" spans="1:5" x14ac:dyDescent="0.5">
      <c r="A621" s="1" t="s">
        <v>46</v>
      </c>
      <c r="B621">
        <v>1880</v>
      </c>
      <c r="C621">
        <v>119565</v>
      </c>
      <c r="D621" s="1" t="s">
        <v>7</v>
      </c>
      <c r="E621" s="1" t="s">
        <v>10</v>
      </c>
    </row>
    <row r="622" spans="1:5" x14ac:dyDescent="0.5">
      <c r="A622" s="1" t="s">
        <v>46</v>
      </c>
      <c r="B622">
        <v>1870</v>
      </c>
      <c r="C622">
        <v>91874</v>
      </c>
      <c r="D622" s="1" t="s">
        <v>7</v>
      </c>
      <c r="E622" s="1" t="s">
        <v>10</v>
      </c>
    </row>
    <row r="623" spans="1:5" x14ac:dyDescent="0.5">
      <c r="A623" s="1" t="s">
        <v>46</v>
      </c>
      <c r="B623">
        <v>1860</v>
      </c>
      <c r="C623">
        <v>61547</v>
      </c>
      <c r="D623" s="1" t="s">
        <v>7</v>
      </c>
      <c r="E623" s="1" t="s">
        <v>10</v>
      </c>
    </row>
    <row r="624" spans="1:5" x14ac:dyDescent="0.5">
      <c r="A624" s="1" t="s">
        <v>47</v>
      </c>
      <c r="B624">
        <v>2010</v>
      </c>
      <c r="C624">
        <v>19378102</v>
      </c>
      <c r="D624" s="1" t="s">
        <v>16</v>
      </c>
      <c r="E624" s="1" t="s">
        <v>45</v>
      </c>
    </row>
    <row r="625" spans="1:5" x14ac:dyDescent="0.5">
      <c r="A625" s="1" t="s">
        <v>47</v>
      </c>
      <c r="B625">
        <v>2000</v>
      </c>
      <c r="C625">
        <v>18976457</v>
      </c>
      <c r="D625" s="1" t="s">
        <v>16</v>
      </c>
      <c r="E625" s="1" t="s">
        <v>45</v>
      </c>
    </row>
    <row r="626" spans="1:5" x14ac:dyDescent="0.5">
      <c r="A626" s="1" t="s">
        <v>47</v>
      </c>
      <c r="B626">
        <v>1990</v>
      </c>
      <c r="C626">
        <v>17990455</v>
      </c>
      <c r="D626" s="1" t="s">
        <v>16</v>
      </c>
      <c r="E626" s="1" t="s">
        <v>45</v>
      </c>
    </row>
    <row r="627" spans="1:5" x14ac:dyDescent="0.5">
      <c r="A627" s="1" t="s">
        <v>47</v>
      </c>
      <c r="B627">
        <v>1980</v>
      </c>
      <c r="C627">
        <v>17558165</v>
      </c>
      <c r="D627" s="1" t="s">
        <v>16</v>
      </c>
      <c r="E627" s="1" t="s">
        <v>45</v>
      </c>
    </row>
    <row r="628" spans="1:5" x14ac:dyDescent="0.5">
      <c r="A628" s="1" t="s">
        <v>47</v>
      </c>
      <c r="B628">
        <v>1970</v>
      </c>
      <c r="C628">
        <v>18241391</v>
      </c>
      <c r="D628" s="1" t="s">
        <v>16</v>
      </c>
      <c r="E628" s="1" t="s">
        <v>45</v>
      </c>
    </row>
    <row r="629" spans="1:5" x14ac:dyDescent="0.5">
      <c r="A629" s="1" t="s">
        <v>47</v>
      </c>
      <c r="B629">
        <v>1960</v>
      </c>
      <c r="C629">
        <v>16782304</v>
      </c>
      <c r="D629" s="1" t="s">
        <v>16</v>
      </c>
      <c r="E629" s="1" t="s">
        <v>45</v>
      </c>
    </row>
    <row r="630" spans="1:5" x14ac:dyDescent="0.5">
      <c r="A630" s="1" t="s">
        <v>47</v>
      </c>
      <c r="B630">
        <v>1950</v>
      </c>
      <c r="C630">
        <v>14830192</v>
      </c>
      <c r="D630" s="1" t="s">
        <v>16</v>
      </c>
      <c r="E630" s="1" t="s">
        <v>45</v>
      </c>
    </row>
    <row r="631" spans="1:5" x14ac:dyDescent="0.5">
      <c r="A631" s="1" t="s">
        <v>47</v>
      </c>
      <c r="B631">
        <v>1940</v>
      </c>
      <c r="C631">
        <v>13479142</v>
      </c>
      <c r="D631" s="1" t="s">
        <v>16</v>
      </c>
      <c r="E631" s="1" t="s">
        <v>45</v>
      </c>
    </row>
    <row r="632" spans="1:5" x14ac:dyDescent="0.5">
      <c r="A632" s="1" t="s">
        <v>47</v>
      </c>
      <c r="B632">
        <v>1930</v>
      </c>
      <c r="C632">
        <v>12588066</v>
      </c>
      <c r="D632" s="1" t="s">
        <v>16</v>
      </c>
      <c r="E632" s="1" t="s">
        <v>45</v>
      </c>
    </row>
    <row r="633" spans="1:5" x14ac:dyDescent="0.5">
      <c r="A633" s="1" t="s">
        <v>47</v>
      </c>
      <c r="B633">
        <v>1920</v>
      </c>
      <c r="C633">
        <v>10385227</v>
      </c>
      <c r="D633" s="1" t="s">
        <v>16</v>
      </c>
      <c r="E633" s="1" t="s">
        <v>45</v>
      </c>
    </row>
    <row r="634" spans="1:5" x14ac:dyDescent="0.5">
      <c r="A634" s="1" t="s">
        <v>47</v>
      </c>
      <c r="B634">
        <v>1910</v>
      </c>
      <c r="C634">
        <v>9113614</v>
      </c>
      <c r="D634" s="1" t="s">
        <v>16</v>
      </c>
      <c r="E634" s="1" t="s">
        <v>45</v>
      </c>
    </row>
    <row r="635" spans="1:5" x14ac:dyDescent="0.5">
      <c r="A635" s="1" t="s">
        <v>47</v>
      </c>
      <c r="B635">
        <v>1900</v>
      </c>
      <c r="C635">
        <v>7268894</v>
      </c>
      <c r="D635" s="1" t="s">
        <v>16</v>
      </c>
      <c r="E635" s="1" t="s">
        <v>45</v>
      </c>
    </row>
    <row r="636" spans="1:5" x14ac:dyDescent="0.5">
      <c r="A636" s="1" t="s">
        <v>47</v>
      </c>
      <c r="B636">
        <v>1890</v>
      </c>
      <c r="C636">
        <v>6003174</v>
      </c>
      <c r="D636" s="1" t="s">
        <v>16</v>
      </c>
      <c r="E636" s="1" t="s">
        <v>45</v>
      </c>
    </row>
    <row r="637" spans="1:5" x14ac:dyDescent="0.5">
      <c r="A637" s="1" t="s">
        <v>47</v>
      </c>
      <c r="B637">
        <v>1880</v>
      </c>
      <c r="C637">
        <v>5082871</v>
      </c>
      <c r="D637" s="1" t="s">
        <v>16</v>
      </c>
      <c r="E637" s="1" t="s">
        <v>45</v>
      </c>
    </row>
    <row r="638" spans="1:5" x14ac:dyDescent="0.5">
      <c r="A638" s="1" t="s">
        <v>47</v>
      </c>
      <c r="B638">
        <v>1870</v>
      </c>
      <c r="C638">
        <v>4382759</v>
      </c>
      <c r="D638" s="1" t="s">
        <v>16</v>
      </c>
      <c r="E638" s="1" t="s">
        <v>45</v>
      </c>
    </row>
    <row r="639" spans="1:5" x14ac:dyDescent="0.5">
      <c r="A639" s="1" t="s">
        <v>47</v>
      </c>
      <c r="B639">
        <v>1860</v>
      </c>
      <c r="C639">
        <v>3880735</v>
      </c>
      <c r="D639" s="1" t="s">
        <v>16</v>
      </c>
      <c r="E639" s="1" t="s">
        <v>45</v>
      </c>
    </row>
    <row r="640" spans="1:5" x14ac:dyDescent="0.5">
      <c r="A640" s="1" t="s">
        <v>47</v>
      </c>
      <c r="B640">
        <v>1850</v>
      </c>
      <c r="C640">
        <v>3097394</v>
      </c>
      <c r="D640" s="1" t="s">
        <v>16</v>
      </c>
      <c r="E640" s="1" t="s">
        <v>45</v>
      </c>
    </row>
    <row r="641" spans="1:5" x14ac:dyDescent="0.5">
      <c r="A641" s="1" t="s">
        <v>47</v>
      </c>
      <c r="B641">
        <v>1840</v>
      </c>
      <c r="C641">
        <v>2428921</v>
      </c>
      <c r="D641" s="1" t="s">
        <v>16</v>
      </c>
      <c r="E641" s="1" t="s">
        <v>45</v>
      </c>
    </row>
    <row r="642" spans="1:5" x14ac:dyDescent="0.5">
      <c r="A642" s="1" t="s">
        <v>47</v>
      </c>
      <c r="B642">
        <v>1830</v>
      </c>
      <c r="C642">
        <v>1918608</v>
      </c>
      <c r="D642" s="1" t="s">
        <v>16</v>
      </c>
      <c r="E642" s="1" t="s">
        <v>45</v>
      </c>
    </row>
    <row r="643" spans="1:5" x14ac:dyDescent="0.5">
      <c r="A643" s="1" t="s">
        <v>47</v>
      </c>
      <c r="B643">
        <v>1820</v>
      </c>
      <c r="C643">
        <v>1372812</v>
      </c>
      <c r="D643" s="1" t="s">
        <v>16</v>
      </c>
      <c r="E643" s="1" t="s">
        <v>45</v>
      </c>
    </row>
    <row r="644" spans="1:5" x14ac:dyDescent="0.5">
      <c r="A644" s="1" t="s">
        <v>47</v>
      </c>
      <c r="B644">
        <v>1810</v>
      </c>
      <c r="C644">
        <v>959049</v>
      </c>
      <c r="D644" s="1" t="s">
        <v>16</v>
      </c>
      <c r="E644" s="1" t="s">
        <v>45</v>
      </c>
    </row>
    <row r="645" spans="1:5" x14ac:dyDescent="0.5">
      <c r="A645" s="1" t="s">
        <v>47</v>
      </c>
      <c r="B645">
        <v>1800</v>
      </c>
      <c r="C645">
        <v>589051</v>
      </c>
      <c r="D645" s="1" t="s">
        <v>16</v>
      </c>
      <c r="E645" s="1" t="s">
        <v>45</v>
      </c>
    </row>
    <row r="646" spans="1:5" x14ac:dyDescent="0.5">
      <c r="A646" s="1" t="s">
        <v>47</v>
      </c>
      <c r="B646">
        <v>1790</v>
      </c>
      <c r="C646">
        <v>340120</v>
      </c>
      <c r="D646" s="1" t="s">
        <v>16</v>
      </c>
      <c r="E646" s="1" t="s">
        <v>45</v>
      </c>
    </row>
    <row r="647" spans="1:5" x14ac:dyDescent="0.5">
      <c r="A647" s="1" t="s">
        <v>48</v>
      </c>
      <c r="B647">
        <v>2010</v>
      </c>
      <c r="C647">
        <v>9535483</v>
      </c>
      <c r="D647" s="1" t="s">
        <v>4</v>
      </c>
      <c r="E647" s="1" t="s">
        <v>19</v>
      </c>
    </row>
    <row r="648" spans="1:5" x14ac:dyDescent="0.5">
      <c r="A648" s="1" t="s">
        <v>48</v>
      </c>
      <c r="B648">
        <v>2000</v>
      </c>
      <c r="C648">
        <v>8049313</v>
      </c>
      <c r="D648" s="1" t="s">
        <v>4</v>
      </c>
      <c r="E648" s="1" t="s">
        <v>19</v>
      </c>
    </row>
    <row r="649" spans="1:5" x14ac:dyDescent="0.5">
      <c r="A649" s="1" t="s">
        <v>48</v>
      </c>
      <c r="B649">
        <v>1990</v>
      </c>
      <c r="C649">
        <v>6628637</v>
      </c>
      <c r="D649" s="1" t="s">
        <v>4</v>
      </c>
      <c r="E649" s="1" t="s">
        <v>19</v>
      </c>
    </row>
    <row r="650" spans="1:5" x14ac:dyDescent="0.5">
      <c r="A650" s="1" t="s">
        <v>48</v>
      </c>
      <c r="B650">
        <v>1980</v>
      </c>
      <c r="C650">
        <v>5880095</v>
      </c>
      <c r="D650" s="1" t="s">
        <v>4</v>
      </c>
      <c r="E650" s="1" t="s">
        <v>19</v>
      </c>
    </row>
    <row r="651" spans="1:5" x14ac:dyDescent="0.5">
      <c r="A651" s="1" t="s">
        <v>48</v>
      </c>
      <c r="B651">
        <v>1970</v>
      </c>
      <c r="C651">
        <v>5084411</v>
      </c>
      <c r="D651" s="1" t="s">
        <v>4</v>
      </c>
      <c r="E651" s="1" t="s">
        <v>19</v>
      </c>
    </row>
    <row r="652" spans="1:5" x14ac:dyDescent="0.5">
      <c r="A652" s="1" t="s">
        <v>48</v>
      </c>
      <c r="B652">
        <v>1960</v>
      </c>
      <c r="C652">
        <v>4556155</v>
      </c>
      <c r="D652" s="1" t="s">
        <v>4</v>
      </c>
      <c r="E652" s="1" t="s">
        <v>19</v>
      </c>
    </row>
    <row r="653" spans="1:5" x14ac:dyDescent="0.5">
      <c r="A653" s="1" t="s">
        <v>48</v>
      </c>
      <c r="B653">
        <v>1950</v>
      </c>
      <c r="C653">
        <v>4061929</v>
      </c>
      <c r="D653" s="1" t="s">
        <v>4</v>
      </c>
      <c r="E653" s="1" t="s">
        <v>19</v>
      </c>
    </row>
    <row r="654" spans="1:5" x14ac:dyDescent="0.5">
      <c r="A654" s="1" t="s">
        <v>48</v>
      </c>
      <c r="B654">
        <v>1940</v>
      </c>
      <c r="C654">
        <v>3571623</v>
      </c>
      <c r="D654" s="1" t="s">
        <v>4</v>
      </c>
      <c r="E654" s="1" t="s">
        <v>19</v>
      </c>
    </row>
    <row r="655" spans="1:5" x14ac:dyDescent="0.5">
      <c r="A655" s="1" t="s">
        <v>48</v>
      </c>
      <c r="B655">
        <v>1930</v>
      </c>
      <c r="C655">
        <v>3170276</v>
      </c>
      <c r="D655" s="1" t="s">
        <v>4</v>
      </c>
      <c r="E655" s="1" t="s">
        <v>19</v>
      </c>
    </row>
    <row r="656" spans="1:5" x14ac:dyDescent="0.5">
      <c r="A656" s="1" t="s">
        <v>48</v>
      </c>
      <c r="B656">
        <v>1920</v>
      </c>
      <c r="C656">
        <v>2559123</v>
      </c>
      <c r="D656" s="1" t="s">
        <v>4</v>
      </c>
      <c r="E656" s="1" t="s">
        <v>19</v>
      </c>
    </row>
    <row r="657" spans="1:5" x14ac:dyDescent="0.5">
      <c r="A657" s="1" t="s">
        <v>48</v>
      </c>
      <c r="B657">
        <v>1910</v>
      </c>
      <c r="C657">
        <v>2206287</v>
      </c>
      <c r="D657" s="1" t="s">
        <v>4</v>
      </c>
      <c r="E657" s="1" t="s">
        <v>19</v>
      </c>
    </row>
    <row r="658" spans="1:5" x14ac:dyDescent="0.5">
      <c r="A658" s="1" t="s">
        <v>48</v>
      </c>
      <c r="B658">
        <v>1900</v>
      </c>
      <c r="C658">
        <v>1896810</v>
      </c>
      <c r="D658" s="1" t="s">
        <v>4</v>
      </c>
      <c r="E658" s="1" t="s">
        <v>19</v>
      </c>
    </row>
    <row r="659" spans="1:5" x14ac:dyDescent="0.5">
      <c r="A659" s="1" t="s">
        <v>48</v>
      </c>
      <c r="B659">
        <v>1890</v>
      </c>
      <c r="C659">
        <v>1617949</v>
      </c>
      <c r="D659" s="1" t="s">
        <v>4</v>
      </c>
      <c r="E659" s="1" t="s">
        <v>19</v>
      </c>
    </row>
    <row r="660" spans="1:5" x14ac:dyDescent="0.5">
      <c r="A660" s="1" t="s">
        <v>48</v>
      </c>
      <c r="B660">
        <v>1880</v>
      </c>
      <c r="C660">
        <v>1399750</v>
      </c>
      <c r="D660" s="1" t="s">
        <v>4</v>
      </c>
      <c r="E660" s="1" t="s">
        <v>19</v>
      </c>
    </row>
    <row r="661" spans="1:5" x14ac:dyDescent="0.5">
      <c r="A661" s="1" t="s">
        <v>48</v>
      </c>
      <c r="B661">
        <v>1870</v>
      </c>
      <c r="C661">
        <v>1071361</v>
      </c>
      <c r="D661" s="1" t="s">
        <v>4</v>
      </c>
      <c r="E661" s="1" t="s">
        <v>19</v>
      </c>
    </row>
    <row r="662" spans="1:5" x14ac:dyDescent="0.5">
      <c r="A662" s="1" t="s">
        <v>48</v>
      </c>
      <c r="B662">
        <v>1860</v>
      </c>
      <c r="C662">
        <v>992622</v>
      </c>
      <c r="D662" s="1" t="s">
        <v>4</v>
      </c>
      <c r="E662" s="1" t="s">
        <v>19</v>
      </c>
    </row>
    <row r="663" spans="1:5" x14ac:dyDescent="0.5">
      <c r="A663" s="1" t="s">
        <v>48</v>
      </c>
      <c r="B663">
        <v>1850</v>
      </c>
      <c r="C663">
        <v>869039</v>
      </c>
      <c r="D663" s="1" t="s">
        <v>4</v>
      </c>
      <c r="E663" s="1" t="s">
        <v>19</v>
      </c>
    </row>
    <row r="664" spans="1:5" x14ac:dyDescent="0.5">
      <c r="A664" s="1" t="s">
        <v>48</v>
      </c>
      <c r="B664">
        <v>1840</v>
      </c>
      <c r="C664">
        <v>753419</v>
      </c>
      <c r="D664" s="1" t="s">
        <v>4</v>
      </c>
      <c r="E664" s="1" t="s">
        <v>19</v>
      </c>
    </row>
    <row r="665" spans="1:5" x14ac:dyDescent="0.5">
      <c r="A665" s="1" t="s">
        <v>48</v>
      </c>
      <c r="B665">
        <v>1830</v>
      </c>
      <c r="C665">
        <v>737987</v>
      </c>
      <c r="D665" s="1" t="s">
        <v>4</v>
      </c>
      <c r="E665" s="1" t="s">
        <v>19</v>
      </c>
    </row>
    <row r="666" spans="1:5" x14ac:dyDescent="0.5">
      <c r="A666" s="1" t="s">
        <v>48</v>
      </c>
      <c r="B666">
        <v>1820</v>
      </c>
      <c r="C666">
        <v>638829</v>
      </c>
      <c r="D666" s="1" t="s">
        <v>4</v>
      </c>
      <c r="E666" s="1" t="s">
        <v>19</v>
      </c>
    </row>
    <row r="667" spans="1:5" x14ac:dyDescent="0.5">
      <c r="A667" s="1" t="s">
        <v>48</v>
      </c>
      <c r="B667">
        <v>1810</v>
      </c>
      <c r="C667">
        <v>555500</v>
      </c>
      <c r="D667" s="1" t="s">
        <v>4</v>
      </c>
      <c r="E667" s="1" t="s">
        <v>19</v>
      </c>
    </row>
    <row r="668" spans="1:5" x14ac:dyDescent="0.5">
      <c r="A668" s="1" t="s">
        <v>48</v>
      </c>
      <c r="B668">
        <v>1800</v>
      </c>
      <c r="C668">
        <v>478103</v>
      </c>
      <c r="D668" s="1" t="s">
        <v>4</v>
      </c>
      <c r="E668" s="1" t="s">
        <v>19</v>
      </c>
    </row>
    <row r="669" spans="1:5" x14ac:dyDescent="0.5">
      <c r="A669" s="1" t="s">
        <v>48</v>
      </c>
      <c r="B669">
        <v>1790</v>
      </c>
      <c r="C669">
        <v>393751</v>
      </c>
      <c r="D669" s="1" t="s">
        <v>4</v>
      </c>
      <c r="E669" s="1" t="s">
        <v>19</v>
      </c>
    </row>
    <row r="670" spans="1:5" x14ac:dyDescent="0.5">
      <c r="A670" s="1" t="s">
        <v>49</v>
      </c>
      <c r="B670">
        <v>2010</v>
      </c>
      <c r="C670">
        <v>672591</v>
      </c>
      <c r="D670" s="1" t="s">
        <v>25</v>
      </c>
      <c r="E670" s="1" t="s">
        <v>29</v>
      </c>
    </row>
    <row r="671" spans="1:5" x14ac:dyDescent="0.5">
      <c r="A671" s="1" t="s">
        <v>49</v>
      </c>
      <c r="B671">
        <v>2000</v>
      </c>
      <c r="C671">
        <v>642200</v>
      </c>
      <c r="D671" s="1" t="s">
        <v>25</v>
      </c>
      <c r="E671" s="1" t="s">
        <v>29</v>
      </c>
    </row>
    <row r="672" spans="1:5" x14ac:dyDescent="0.5">
      <c r="A672" s="1" t="s">
        <v>49</v>
      </c>
      <c r="B672">
        <v>1990</v>
      </c>
      <c r="C672">
        <v>638800</v>
      </c>
      <c r="D672" s="1" t="s">
        <v>25</v>
      </c>
      <c r="E672" s="1" t="s">
        <v>29</v>
      </c>
    </row>
    <row r="673" spans="1:5" x14ac:dyDescent="0.5">
      <c r="A673" s="1" t="s">
        <v>49</v>
      </c>
      <c r="B673">
        <v>1980</v>
      </c>
      <c r="C673">
        <v>652717</v>
      </c>
      <c r="D673" s="1" t="s">
        <v>25</v>
      </c>
      <c r="E673" s="1" t="s">
        <v>29</v>
      </c>
    </row>
    <row r="674" spans="1:5" x14ac:dyDescent="0.5">
      <c r="A674" s="1" t="s">
        <v>49</v>
      </c>
      <c r="B674">
        <v>1970</v>
      </c>
      <c r="C674">
        <v>617792</v>
      </c>
      <c r="D674" s="1" t="s">
        <v>25</v>
      </c>
      <c r="E674" s="1" t="s">
        <v>29</v>
      </c>
    </row>
    <row r="675" spans="1:5" x14ac:dyDescent="0.5">
      <c r="A675" s="1" t="s">
        <v>49</v>
      </c>
      <c r="B675">
        <v>1960</v>
      </c>
      <c r="C675">
        <v>632446</v>
      </c>
      <c r="D675" s="1" t="s">
        <v>25</v>
      </c>
      <c r="E675" s="1" t="s">
        <v>29</v>
      </c>
    </row>
    <row r="676" spans="1:5" x14ac:dyDescent="0.5">
      <c r="A676" s="1" t="s">
        <v>49</v>
      </c>
      <c r="B676">
        <v>1950</v>
      </c>
      <c r="C676">
        <v>619636</v>
      </c>
      <c r="D676" s="1" t="s">
        <v>25</v>
      </c>
      <c r="E676" s="1" t="s">
        <v>29</v>
      </c>
    </row>
    <row r="677" spans="1:5" x14ac:dyDescent="0.5">
      <c r="A677" s="1" t="s">
        <v>49</v>
      </c>
      <c r="B677">
        <v>1940</v>
      </c>
      <c r="C677">
        <v>641935</v>
      </c>
      <c r="D677" s="1" t="s">
        <v>25</v>
      </c>
      <c r="E677" s="1" t="s">
        <v>29</v>
      </c>
    </row>
    <row r="678" spans="1:5" x14ac:dyDescent="0.5">
      <c r="A678" s="1" t="s">
        <v>49</v>
      </c>
      <c r="B678">
        <v>1930</v>
      </c>
      <c r="C678">
        <v>680845</v>
      </c>
      <c r="D678" s="1" t="s">
        <v>25</v>
      </c>
      <c r="E678" s="1" t="s">
        <v>29</v>
      </c>
    </row>
    <row r="679" spans="1:5" x14ac:dyDescent="0.5">
      <c r="A679" s="1" t="s">
        <v>49</v>
      </c>
      <c r="B679">
        <v>1920</v>
      </c>
      <c r="C679">
        <v>646872</v>
      </c>
      <c r="D679" s="1" t="s">
        <v>25</v>
      </c>
      <c r="E679" s="1" t="s">
        <v>29</v>
      </c>
    </row>
    <row r="680" spans="1:5" x14ac:dyDescent="0.5">
      <c r="A680" s="1" t="s">
        <v>49</v>
      </c>
      <c r="B680">
        <v>1910</v>
      </c>
      <c r="C680">
        <v>577056</v>
      </c>
      <c r="D680" s="1" t="s">
        <v>25</v>
      </c>
      <c r="E680" s="1" t="s">
        <v>29</v>
      </c>
    </row>
    <row r="681" spans="1:5" x14ac:dyDescent="0.5">
      <c r="A681" s="1" t="s">
        <v>49</v>
      </c>
      <c r="B681">
        <v>1900</v>
      </c>
      <c r="C681">
        <v>319146</v>
      </c>
      <c r="D681" s="1" t="s">
        <v>25</v>
      </c>
      <c r="E681" s="1" t="s">
        <v>29</v>
      </c>
    </row>
    <row r="682" spans="1:5" x14ac:dyDescent="0.5">
      <c r="A682" s="1" t="s">
        <v>49</v>
      </c>
      <c r="B682">
        <v>1890</v>
      </c>
      <c r="C682">
        <v>190983</v>
      </c>
      <c r="D682" s="1" t="s">
        <v>25</v>
      </c>
      <c r="E682" s="1" t="s">
        <v>29</v>
      </c>
    </row>
    <row r="683" spans="1:5" x14ac:dyDescent="0.5">
      <c r="A683" s="1" t="s">
        <v>49</v>
      </c>
      <c r="B683">
        <v>1880</v>
      </c>
      <c r="C683">
        <v>36909</v>
      </c>
      <c r="D683" s="1" t="s">
        <v>25</v>
      </c>
      <c r="E683" s="1" t="s">
        <v>29</v>
      </c>
    </row>
    <row r="684" spans="1:5" x14ac:dyDescent="0.5">
      <c r="A684" s="1" t="s">
        <v>49</v>
      </c>
      <c r="B684">
        <v>1870</v>
      </c>
      <c r="C684">
        <v>2405</v>
      </c>
      <c r="D684" s="1" t="s">
        <v>25</v>
      </c>
      <c r="E684" s="1" t="s">
        <v>29</v>
      </c>
    </row>
    <row r="685" spans="1:5" x14ac:dyDescent="0.5">
      <c r="A685" s="1" t="s">
        <v>50</v>
      </c>
      <c r="B685">
        <v>2010</v>
      </c>
      <c r="C685">
        <v>11536504</v>
      </c>
      <c r="D685" s="1" t="s">
        <v>25</v>
      </c>
      <c r="E685" s="1" t="s">
        <v>26</v>
      </c>
    </row>
    <row r="686" spans="1:5" x14ac:dyDescent="0.5">
      <c r="A686" s="1" t="s">
        <v>50</v>
      </c>
      <c r="B686">
        <v>2000</v>
      </c>
      <c r="C686">
        <v>11353140</v>
      </c>
      <c r="D686" s="1" t="s">
        <v>25</v>
      </c>
      <c r="E686" s="1" t="s">
        <v>26</v>
      </c>
    </row>
    <row r="687" spans="1:5" x14ac:dyDescent="0.5">
      <c r="A687" s="1" t="s">
        <v>50</v>
      </c>
      <c r="B687">
        <v>1990</v>
      </c>
      <c r="C687">
        <v>10847115</v>
      </c>
      <c r="D687" s="1" t="s">
        <v>25</v>
      </c>
      <c r="E687" s="1" t="s">
        <v>26</v>
      </c>
    </row>
    <row r="688" spans="1:5" x14ac:dyDescent="0.5">
      <c r="A688" s="1" t="s">
        <v>50</v>
      </c>
      <c r="B688">
        <v>1980</v>
      </c>
      <c r="C688">
        <v>10797603</v>
      </c>
      <c r="D688" s="1" t="s">
        <v>25</v>
      </c>
      <c r="E688" s="1" t="s">
        <v>26</v>
      </c>
    </row>
    <row r="689" spans="1:5" x14ac:dyDescent="0.5">
      <c r="A689" s="1" t="s">
        <v>50</v>
      </c>
      <c r="B689">
        <v>1970</v>
      </c>
      <c r="C689">
        <v>10657423</v>
      </c>
      <c r="D689" s="1" t="s">
        <v>25</v>
      </c>
      <c r="E689" s="1" t="s">
        <v>26</v>
      </c>
    </row>
    <row r="690" spans="1:5" x14ac:dyDescent="0.5">
      <c r="A690" s="1" t="s">
        <v>50</v>
      </c>
      <c r="B690">
        <v>1960</v>
      </c>
      <c r="C690">
        <v>9706397</v>
      </c>
      <c r="D690" s="1" t="s">
        <v>25</v>
      </c>
      <c r="E690" s="1" t="s">
        <v>26</v>
      </c>
    </row>
    <row r="691" spans="1:5" x14ac:dyDescent="0.5">
      <c r="A691" s="1" t="s">
        <v>50</v>
      </c>
      <c r="B691">
        <v>1950</v>
      </c>
      <c r="C691">
        <v>7946627</v>
      </c>
      <c r="D691" s="1" t="s">
        <v>25</v>
      </c>
      <c r="E691" s="1" t="s">
        <v>26</v>
      </c>
    </row>
    <row r="692" spans="1:5" x14ac:dyDescent="0.5">
      <c r="A692" s="1" t="s">
        <v>50</v>
      </c>
      <c r="B692">
        <v>1940</v>
      </c>
      <c r="C692">
        <v>6907612</v>
      </c>
      <c r="D692" s="1" t="s">
        <v>25</v>
      </c>
      <c r="E692" s="1" t="s">
        <v>26</v>
      </c>
    </row>
    <row r="693" spans="1:5" x14ac:dyDescent="0.5">
      <c r="A693" s="1" t="s">
        <v>50</v>
      </c>
      <c r="B693">
        <v>1930</v>
      </c>
      <c r="C693">
        <v>6646697</v>
      </c>
      <c r="D693" s="1" t="s">
        <v>25</v>
      </c>
      <c r="E693" s="1" t="s">
        <v>26</v>
      </c>
    </row>
    <row r="694" spans="1:5" x14ac:dyDescent="0.5">
      <c r="A694" s="1" t="s">
        <v>50</v>
      </c>
      <c r="B694">
        <v>1920</v>
      </c>
      <c r="C694">
        <v>5759394</v>
      </c>
      <c r="D694" s="1" t="s">
        <v>25</v>
      </c>
      <c r="E694" s="1" t="s">
        <v>26</v>
      </c>
    </row>
    <row r="695" spans="1:5" x14ac:dyDescent="0.5">
      <c r="A695" s="1" t="s">
        <v>50</v>
      </c>
      <c r="B695">
        <v>1910</v>
      </c>
      <c r="C695">
        <v>4767121</v>
      </c>
      <c r="D695" s="1" t="s">
        <v>25</v>
      </c>
      <c r="E695" s="1" t="s">
        <v>26</v>
      </c>
    </row>
    <row r="696" spans="1:5" x14ac:dyDescent="0.5">
      <c r="A696" s="1" t="s">
        <v>50</v>
      </c>
      <c r="B696">
        <v>1900</v>
      </c>
      <c r="C696">
        <v>4157545</v>
      </c>
      <c r="D696" s="1" t="s">
        <v>25</v>
      </c>
      <c r="E696" s="1" t="s">
        <v>26</v>
      </c>
    </row>
    <row r="697" spans="1:5" x14ac:dyDescent="0.5">
      <c r="A697" s="1" t="s">
        <v>50</v>
      </c>
      <c r="B697">
        <v>1890</v>
      </c>
      <c r="C697">
        <v>3672329</v>
      </c>
      <c r="D697" s="1" t="s">
        <v>25</v>
      </c>
      <c r="E697" s="1" t="s">
        <v>26</v>
      </c>
    </row>
    <row r="698" spans="1:5" x14ac:dyDescent="0.5">
      <c r="A698" s="1" t="s">
        <v>50</v>
      </c>
      <c r="B698">
        <v>1880</v>
      </c>
      <c r="C698">
        <v>3198062</v>
      </c>
      <c r="D698" s="1" t="s">
        <v>25</v>
      </c>
      <c r="E698" s="1" t="s">
        <v>26</v>
      </c>
    </row>
    <row r="699" spans="1:5" x14ac:dyDescent="0.5">
      <c r="A699" s="1" t="s">
        <v>50</v>
      </c>
      <c r="B699">
        <v>1870</v>
      </c>
      <c r="C699">
        <v>2665260</v>
      </c>
      <c r="D699" s="1" t="s">
        <v>25</v>
      </c>
      <c r="E699" s="1" t="s">
        <v>26</v>
      </c>
    </row>
    <row r="700" spans="1:5" x14ac:dyDescent="0.5">
      <c r="A700" s="1" t="s">
        <v>50</v>
      </c>
      <c r="B700">
        <v>1860</v>
      </c>
      <c r="C700">
        <v>2339511</v>
      </c>
      <c r="D700" s="1" t="s">
        <v>25</v>
      </c>
      <c r="E700" s="1" t="s">
        <v>26</v>
      </c>
    </row>
    <row r="701" spans="1:5" x14ac:dyDescent="0.5">
      <c r="A701" s="1" t="s">
        <v>50</v>
      </c>
      <c r="B701">
        <v>1850</v>
      </c>
      <c r="C701">
        <v>1980329</v>
      </c>
      <c r="D701" s="1" t="s">
        <v>25</v>
      </c>
      <c r="E701" s="1" t="s">
        <v>26</v>
      </c>
    </row>
    <row r="702" spans="1:5" x14ac:dyDescent="0.5">
      <c r="A702" s="1" t="s">
        <v>50</v>
      </c>
      <c r="B702">
        <v>1840</v>
      </c>
      <c r="C702">
        <v>1519467</v>
      </c>
      <c r="D702" s="1" t="s">
        <v>25</v>
      </c>
      <c r="E702" s="1" t="s">
        <v>26</v>
      </c>
    </row>
    <row r="703" spans="1:5" x14ac:dyDescent="0.5">
      <c r="A703" s="1" t="s">
        <v>50</v>
      </c>
      <c r="B703">
        <v>1830</v>
      </c>
      <c r="C703">
        <v>937903</v>
      </c>
      <c r="D703" s="1" t="s">
        <v>25</v>
      </c>
      <c r="E703" s="1" t="s">
        <v>26</v>
      </c>
    </row>
    <row r="704" spans="1:5" x14ac:dyDescent="0.5">
      <c r="A704" s="1" t="s">
        <v>50</v>
      </c>
      <c r="B704">
        <v>1820</v>
      </c>
      <c r="C704">
        <v>581434</v>
      </c>
      <c r="D704" s="1" t="s">
        <v>25</v>
      </c>
      <c r="E704" s="1" t="s">
        <v>26</v>
      </c>
    </row>
    <row r="705" spans="1:5" x14ac:dyDescent="0.5">
      <c r="A705" s="1" t="s">
        <v>50</v>
      </c>
      <c r="B705">
        <v>1810</v>
      </c>
      <c r="C705">
        <v>230760</v>
      </c>
      <c r="D705" s="1" t="s">
        <v>25</v>
      </c>
      <c r="E705" s="1" t="s">
        <v>26</v>
      </c>
    </row>
    <row r="706" spans="1:5" x14ac:dyDescent="0.5">
      <c r="A706" s="1" t="s">
        <v>50</v>
      </c>
      <c r="B706">
        <v>1800</v>
      </c>
      <c r="C706">
        <v>45365</v>
      </c>
      <c r="D706" s="1" t="s">
        <v>25</v>
      </c>
      <c r="E706" s="1" t="s">
        <v>26</v>
      </c>
    </row>
    <row r="707" spans="1:5" x14ac:dyDescent="0.5">
      <c r="A707" s="1" t="s">
        <v>51</v>
      </c>
      <c r="B707">
        <v>2010</v>
      </c>
      <c r="C707">
        <v>3751351</v>
      </c>
      <c r="D707" s="1" t="s">
        <v>4</v>
      </c>
      <c r="E707" s="1" t="s">
        <v>12</v>
      </c>
    </row>
    <row r="708" spans="1:5" x14ac:dyDescent="0.5">
      <c r="A708" s="1" t="s">
        <v>51</v>
      </c>
      <c r="B708">
        <v>2000</v>
      </c>
      <c r="C708">
        <v>3450654</v>
      </c>
      <c r="D708" s="1" t="s">
        <v>4</v>
      </c>
      <c r="E708" s="1" t="s">
        <v>12</v>
      </c>
    </row>
    <row r="709" spans="1:5" x14ac:dyDescent="0.5">
      <c r="A709" s="1" t="s">
        <v>51</v>
      </c>
      <c r="B709">
        <v>1990</v>
      </c>
      <c r="C709">
        <v>3145585</v>
      </c>
      <c r="D709" s="1" t="s">
        <v>4</v>
      </c>
      <c r="E709" s="1" t="s">
        <v>12</v>
      </c>
    </row>
    <row r="710" spans="1:5" x14ac:dyDescent="0.5">
      <c r="A710" s="1" t="s">
        <v>51</v>
      </c>
      <c r="B710">
        <v>1980</v>
      </c>
      <c r="C710">
        <v>3025487</v>
      </c>
      <c r="D710" s="1" t="s">
        <v>4</v>
      </c>
      <c r="E710" s="1" t="s">
        <v>12</v>
      </c>
    </row>
    <row r="711" spans="1:5" x14ac:dyDescent="0.5">
      <c r="A711" s="1" t="s">
        <v>51</v>
      </c>
      <c r="B711">
        <v>1970</v>
      </c>
      <c r="C711">
        <v>2559463</v>
      </c>
      <c r="D711" s="1" t="s">
        <v>4</v>
      </c>
      <c r="E711" s="1" t="s">
        <v>12</v>
      </c>
    </row>
    <row r="712" spans="1:5" x14ac:dyDescent="0.5">
      <c r="A712" s="1" t="s">
        <v>51</v>
      </c>
      <c r="B712">
        <v>1960</v>
      </c>
      <c r="C712">
        <v>2328284</v>
      </c>
      <c r="D712" s="1" t="s">
        <v>4</v>
      </c>
      <c r="E712" s="1" t="s">
        <v>12</v>
      </c>
    </row>
    <row r="713" spans="1:5" x14ac:dyDescent="0.5">
      <c r="A713" s="1" t="s">
        <v>51</v>
      </c>
      <c r="B713">
        <v>1950</v>
      </c>
      <c r="C713">
        <v>2233351</v>
      </c>
      <c r="D713" s="1" t="s">
        <v>4</v>
      </c>
      <c r="E713" s="1" t="s">
        <v>12</v>
      </c>
    </row>
    <row r="714" spans="1:5" x14ac:dyDescent="0.5">
      <c r="A714" s="1" t="s">
        <v>51</v>
      </c>
      <c r="B714">
        <v>1940</v>
      </c>
      <c r="C714">
        <v>2336434</v>
      </c>
      <c r="D714" s="1" t="s">
        <v>4</v>
      </c>
      <c r="E714" s="1" t="s">
        <v>12</v>
      </c>
    </row>
    <row r="715" spans="1:5" x14ac:dyDescent="0.5">
      <c r="A715" s="1" t="s">
        <v>51</v>
      </c>
      <c r="B715">
        <v>1930</v>
      </c>
      <c r="C715">
        <v>2396040</v>
      </c>
      <c r="D715" s="1" t="s">
        <v>4</v>
      </c>
      <c r="E715" s="1" t="s">
        <v>12</v>
      </c>
    </row>
    <row r="716" spans="1:5" x14ac:dyDescent="0.5">
      <c r="A716" s="1" t="s">
        <v>51</v>
      </c>
      <c r="B716">
        <v>1920</v>
      </c>
      <c r="C716">
        <v>2028283</v>
      </c>
      <c r="D716" s="1" t="s">
        <v>4</v>
      </c>
      <c r="E716" s="1" t="s">
        <v>12</v>
      </c>
    </row>
    <row r="717" spans="1:5" x14ac:dyDescent="0.5">
      <c r="A717" s="1" t="s">
        <v>51</v>
      </c>
      <c r="B717">
        <v>1910</v>
      </c>
      <c r="C717">
        <v>1657155</v>
      </c>
      <c r="D717" s="1" t="s">
        <v>4</v>
      </c>
      <c r="E717" s="1" t="s">
        <v>12</v>
      </c>
    </row>
    <row r="718" spans="1:5" x14ac:dyDescent="0.5">
      <c r="A718" s="1" t="s">
        <v>51</v>
      </c>
      <c r="B718">
        <v>1900</v>
      </c>
      <c r="C718">
        <v>790391</v>
      </c>
      <c r="D718" s="1" t="s">
        <v>4</v>
      </c>
      <c r="E718" s="1" t="s">
        <v>12</v>
      </c>
    </row>
    <row r="719" spans="1:5" x14ac:dyDescent="0.5">
      <c r="A719" s="1" t="s">
        <v>51</v>
      </c>
      <c r="B719">
        <v>1890</v>
      </c>
      <c r="C719">
        <v>258657</v>
      </c>
      <c r="D719" s="1" t="s">
        <v>4</v>
      </c>
      <c r="E719" s="1" t="s">
        <v>12</v>
      </c>
    </row>
    <row r="720" spans="1:5" x14ac:dyDescent="0.5">
      <c r="A720" s="1" t="s">
        <v>52</v>
      </c>
      <c r="B720">
        <v>2010</v>
      </c>
      <c r="C720">
        <v>3831074</v>
      </c>
      <c r="D720" s="1" t="s">
        <v>7</v>
      </c>
      <c r="E720" s="1" t="s">
        <v>8</v>
      </c>
    </row>
    <row r="721" spans="1:5" x14ac:dyDescent="0.5">
      <c r="A721" s="1" t="s">
        <v>52</v>
      </c>
      <c r="B721">
        <v>2000</v>
      </c>
      <c r="C721">
        <v>3421399</v>
      </c>
      <c r="D721" s="1" t="s">
        <v>7</v>
      </c>
      <c r="E721" s="1" t="s">
        <v>8</v>
      </c>
    </row>
    <row r="722" spans="1:5" x14ac:dyDescent="0.5">
      <c r="A722" s="1" t="s">
        <v>52</v>
      </c>
      <c r="B722">
        <v>1990</v>
      </c>
      <c r="C722">
        <v>2842321</v>
      </c>
      <c r="D722" s="1" t="s">
        <v>7</v>
      </c>
      <c r="E722" s="1" t="s">
        <v>8</v>
      </c>
    </row>
    <row r="723" spans="1:5" x14ac:dyDescent="0.5">
      <c r="A723" s="1" t="s">
        <v>52</v>
      </c>
      <c r="B723">
        <v>1980</v>
      </c>
      <c r="C723">
        <v>2633156</v>
      </c>
      <c r="D723" s="1" t="s">
        <v>7</v>
      </c>
      <c r="E723" s="1" t="s">
        <v>8</v>
      </c>
    </row>
    <row r="724" spans="1:5" x14ac:dyDescent="0.5">
      <c r="A724" s="1" t="s">
        <v>52</v>
      </c>
      <c r="B724">
        <v>1970</v>
      </c>
      <c r="C724">
        <v>2091533</v>
      </c>
      <c r="D724" s="1" t="s">
        <v>7</v>
      </c>
      <c r="E724" s="1" t="s">
        <v>8</v>
      </c>
    </row>
    <row r="725" spans="1:5" x14ac:dyDescent="0.5">
      <c r="A725" s="1" t="s">
        <v>52</v>
      </c>
      <c r="B725">
        <v>1960</v>
      </c>
      <c r="C725">
        <v>1768687</v>
      </c>
      <c r="D725" s="1" t="s">
        <v>7</v>
      </c>
      <c r="E725" s="1" t="s">
        <v>8</v>
      </c>
    </row>
    <row r="726" spans="1:5" x14ac:dyDescent="0.5">
      <c r="A726" s="1" t="s">
        <v>52</v>
      </c>
      <c r="B726">
        <v>1950</v>
      </c>
      <c r="C726">
        <v>1521341</v>
      </c>
      <c r="D726" s="1" t="s">
        <v>7</v>
      </c>
      <c r="E726" s="1" t="s">
        <v>8</v>
      </c>
    </row>
    <row r="727" spans="1:5" x14ac:dyDescent="0.5">
      <c r="A727" s="1" t="s">
        <v>52</v>
      </c>
      <c r="B727">
        <v>1940</v>
      </c>
      <c r="C727">
        <v>1089684</v>
      </c>
      <c r="D727" s="1" t="s">
        <v>7</v>
      </c>
      <c r="E727" s="1" t="s">
        <v>8</v>
      </c>
    </row>
    <row r="728" spans="1:5" x14ac:dyDescent="0.5">
      <c r="A728" s="1" t="s">
        <v>52</v>
      </c>
      <c r="B728">
        <v>1930</v>
      </c>
      <c r="C728">
        <v>953786</v>
      </c>
      <c r="D728" s="1" t="s">
        <v>7</v>
      </c>
      <c r="E728" s="1" t="s">
        <v>8</v>
      </c>
    </row>
    <row r="729" spans="1:5" x14ac:dyDescent="0.5">
      <c r="A729" s="1" t="s">
        <v>52</v>
      </c>
      <c r="B729">
        <v>1920</v>
      </c>
      <c r="C729">
        <v>783389</v>
      </c>
      <c r="D729" s="1" t="s">
        <v>7</v>
      </c>
      <c r="E729" s="1" t="s">
        <v>8</v>
      </c>
    </row>
    <row r="730" spans="1:5" x14ac:dyDescent="0.5">
      <c r="A730" s="1" t="s">
        <v>52</v>
      </c>
      <c r="B730">
        <v>1910</v>
      </c>
      <c r="C730">
        <v>672765</v>
      </c>
      <c r="D730" s="1" t="s">
        <v>7</v>
      </c>
      <c r="E730" s="1" t="s">
        <v>8</v>
      </c>
    </row>
    <row r="731" spans="1:5" x14ac:dyDescent="0.5">
      <c r="A731" s="1" t="s">
        <v>52</v>
      </c>
      <c r="B731">
        <v>1900</v>
      </c>
      <c r="C731">
        <v>413536</v>
      </c>
      <c r="D731" s="1" t="s">
        <v>7</v>
      </c>
      <c r="E731" s="1" t="s">
        <v>8</v>
      </c>
    </row>
    <row r="732" spans="1:5" x14ac:dyDescent="0.5">
      <c r="A732" s="1" t="s">
        <v>52</v>
      </c>
      <c r="B732">
        <v>1890</v>
      </c>
      <c r="C732">
        <v>317704</v>
      </c>
      <c r="D732" s="1" t="s">
        <v>7</v>
      </c>
      <c r="E732" s="1" t="s">
        <v>8</v>
      </c>
    </row>
    <row r="733" spans="1:5" x14ac:dyDescent="0.5">
      <c r="A733" s="1" t="s">
        <v>52</v>
      </c>
      <c r="B733">
        <v>1880</v>
      </c>
      <c r="C733">
        <v>174768</v>
      </c>
      <c r="D733" s="1" t="s">
        <v>7</v>
      </c>
      <c r="E733" s="1" t="s">
        <v>8</v>
      </c>
    </row>
    <row r="734" spans="1:5" x14ac:dyDescent="0.5">
      <c r="A734" s="1" t="s">
        <v>52</v>
      </c>
      <c r="B734">
        <v>1870</v>
      </c>
      <c r="C734">
        <v>90923</v>
      </c>
      <c r="D734" s="1" t="s">
        <v>7</v>
      </c>
      <c r="E734" s="1" t="s">
        <v>8</v>
      </c>
    </row>
    <row r="735" spans="1:5" x14ac:dyDescent="0.5">
      <c r="A735" s="1" t="s">
        <v>52</v>
      </c>
      <c r="B735">
        <v>1860</v>
      </c>
      <c r="C735">
        <v>52465</v>
      </c>
      <c r="D735" s="1" t="s">
        <v>7</v>
      </c>
      <c r="E735" s="1" t="s">
        <v>8</v>
      </c>
    </row>
    <row r="736" spans="1:5" x14ac:dyDescent="0.5">
      <c r="A736" s="1" t="s">
        <v>52</v>
      </c>
      <c r="B736">
        <v>1850</v>
      </c>
      <c r="C736">
        <v>12093</v>
      </c>
      <c r="D736" s="1" t="s">
        <v>7</v>
      </c>
      <c r="E736" s="1" t="s">
        <v>8</v>
      </c>
    </row>
    <row r="737" spans="1:5" x14ac:dyDescent="0.5">
      <c r="A737" s="1" t="s">
        <v>53</v>
      </c>
      <c r="B737">
        <v>2010</v>
      </c>
      <c r="C737">
        <v>12702379</v>
      </c>
      <c r="D737" s="1" t="s">
        <v>16</v>
      </c>
      <c r="E737" s="1" t="s">
        <v>45</v>
      </c>
    </row>
    <row r="738" spans="1:5" x14ac:dyDescent="0.5">
      <c r="A738" s="1" t="s">
        <v>53</v>
      </c>
      <c r="B738">
        <v>2000</v>
      </c>
      <c r="C738">
        <v>12281054</v>
      </c>
      <c r="D738" s="1" t="s">
        <v>16</v>
      </c>
      <c r="E738" s="1" t="s">
        <v>45</v>
      </c>
    </row>
    <row r="739" spans="1:5" x14ac:dyDescent="0.5">
      <c r="A739" s="1" t="s">
        <v>53</v>
      </c>
      <c r="B739">
        <v>1990</v>
      </c>
      <c r="C739">
        <v>11881643</v>
      </c>
      <c r="D739" s="1" t="s">
        <v>16</v>
      </c>
      <c r="E739" s="1" t="s">
        <v>45</v>
      </c>
    </row>
    <row r="740" spans="1:5" x14ac:dyDescent="0.5">
      <c r="A740" s="1" t="s">
        <v>53</v>
      </c>
      <c r="B740">
        <v>1980</v>
      </c>
      <c r="C740">
        <v>11864720</v>
      </c>
      <c r="D740" s="1" t="s">
        <v>16</v>
      </c>
      <c r="E740" s="1" t="s">
        <v>45</v>
      </c>
    </row>
    <row r="741" spans="1:5" x14ac:dyDescent="0.5">
      <c r="A741" s="1" t="s">
        <v>53</v>
      </c>
      <c r="B741">
        <v>1970</v>
      </c>
      <c r="C741">
        <v>11800766</v>
      </c>
      <c r="D741" s="1" t="s">
        <v>16</v>
      </c>
      <c r="E741" s="1" t="s">
        <v>45</v>
      </c>
    </row>
    <row r="742" spans="1:5" x14ac:dyDescent="0.5">
      <c r="A742" s="1" t="s">
        <v>53</v>
      </c>
      <c r="B742">
        <v>1960</v>
      </c>
      <c r="C742">
        <v>11319366</v>
      </c>
      <c r="D742" s="1" t="s">
        <v>16</v>
      </c>
      <c r="E742" s="1" t="s">
        <v>45</v>
      </c>
    </row>
    <row r="743" spans="1:5" x14ac:dyDescent="0.5">
      <c r="A743" s="1" t="s">
        <v>53</v>
      </c>
      <c r="B743">
        <v>1950</v>
      </c>
      <c r="C743">
        <v>10498012</v>
      </c>
      <c r="D743" s="1" t="s">
        <v>16</v>
      </c>
      <c r="E743" s="1" t="s">
        <v>45</v>
      </c>
    </row>
    <row r="744" spans="1:5" x14ac:dyDescent="0.5">
      <c r="A744" s="1" t="s">
        <v>53</v>
      </c>
      <c r="B744">
        <v>1940</v>
      </c>
      <c r="C744">
        <v>9900180</v>
      </c>
      <c r="D744" s="1" t="s">
        <v>16</v>
      </c>
      <c r="E744" s="1" t="s">
        <v>45</v>
      </c>
    </row>
    <row r="745" spans="1:5" x14ac:dyDescent="0.5">
      <c r="A745" s="1" t="s">
        <v>53</v>
      </c>
      <c r="B745">
        <v>1930</v>
      </c>
      <c r="C745">
        <v>9631350</v>
      </c>
      <c r="D745" s="1" t="s">
        <v>16</v>
      </c>
      <c r="E745" s="1" t="s">
        <v>45</v>
      </c>
    </row>
    <row r="746" spans="1:5" x14ac:dyDescent="0.5">
      <c r="A746" s="1" t="s">
        <v>53</v>
      </c>
      <c r="B746">
        <v>1920</v>
      </c>
      <c r="C746">
        <v>8720017</v>
      </c>
      <c r="D746" s="1" t="s">
        <v>16</v>
      </c>
      <c r="E746" s="1" t="s">
        <v>45</v>
      </c>
    </row>
    <row r="747" spans="1:5" x14ac:dyDescent="0.5">
      <c r="A747" s="1" t="s">
        <v>53</v>
      </c>
      <c r="B747">
        <v>1910</v>
      </c>
      <c r="C747">
        <v>7665111</v>
      </c>
      <c r="D747" s="1" t="s">
        <v>16</v>
      </c>
      <c r="E747" s="1" t="s">
        <v>45</v>
      </c>
    </row>
    <row r="748" spans="1:5" x14ac:dyDescent="0.5">
      <c r="A748" s="1" t="s">
        <v>53</v>
      </c>
      <c r="B748">
        <v>1900</v>
      </c>
      <c r="C748">
        <v>6302115</v>
      </c>
      <c r="D748" s="1" t="s">
        <v>16</v>
      </c>
      <c r="E748" s="1" t="s">
        <v>45</v>
      </c>
    </row>
    <row r="749" spans="1:5" x14ac:dyDescent="0.5">
      <c r="A749" s="1" t="s">
        <v>53</v>
      </c>
      <c r="B749">
        <v>1890</v>
      </c>
      <c r="C749">
        <v>5258113</v>
      </c>
      <c r="D749" s="1" t="s">
        <v>16</v>
      </c>
      <c r="E749" s="1" t="s">
        <v>45</v>
      </c>
    </row>
    <row r="750" spans="1:5" x14ac:dyDescent="0.5">
      <c r="A750" s="1" t="s">
        <v>53</v>
      </c>
      <c r="B750">
        <v>1880</v>
      </c>
      <c r="C750">
        <v>4282891</v>
      </c>
      <c r="D750" s="1" t="s">
        <v>16</v>
      </c>
      <c r="E750" s="1" t="s">
        <v>45</v>
      </c>
    </row>
    <row r="751" spans="1:5" x14ac:dyDescent="0.5">
      <c r="A751" s="1" t="s">
        <v>53</v>
      </c>
      <c r="B751">
        <v>1870</v>
      </c>
      <c r="C751">
        <v>3521951</v>
      </c>
      <c r="D751" s="1" t="s">
        <v>16</v>
      </c>
      <c r="E751" s="1" t="s">
        <v>45</v>
      </c>
    </row>
    <row r="752" spans="1:5" x14ac:dyDescent="0.5">
      <c r="A752" s="1" t="s">
        <v>53</v>
      </c>
      <c r="B752">
        <v>1860</v>
      </c>
      <c r="C752">
        <v>2906215</v>
      </c>
      <c r="D752" s="1" t="s">
        <v>16</v>
      </c>
      <c r="E752" s="1" t="s">
        <v>45</v>
      </c>
    </row>
    <row r="753" spans="1:5" x14ac:dyDescent="0.5">
      <c r="A753" s="1" t="s">
        <v>53</v>
      </c>
      <c r="B753">
        <v>1850</v>
      </c>
      <c r="C753">
        <v>2311786</v>
      </c>
      <c r="D753" s="1" t="s">
        <v>16</v>
      </c>
      <c r="E753" s="1" t="s">
        <v>45</v>
      </c>
    </row>
    <row r="754" spans="1:5" x14ac:dyDescent="0.5">
      <c r="A754" s="1" t="s">
        <v>53</v>
      </c>
      <c r="B754">
        <v>1840</v>
      </c>
      <c r="C754">
        <v>1724033</v>
      </c>
      <c r="D754" s="1" t="s">
        <v>16</v>
      </c>
      <c r="E754" s="1" t="s">
        <v>45</v>
      </c>
    </row>
    <row r="755" spans="1:5" x14ac:dyDescent="0.5">
      <c r="A755" s="1" t="s">
        <v>53</v>
      </c>
      <c r="B755">
        <v>1830</v>
      </c>
      <c r="C755">
        <v>1348233</v>
      </c>
      <c r="D755" s="1" t="s">
        <v>16</v>
      </c>
      <c r="E755" s="1" t="s">
        <v>45</v>
      </c>
    </row>
    <row r="756" spans="1:5" x14ac:dyDescent="0.5">
      <c r="A756" s="1" t="s">
        <v>53</v>
      </c>
      <c r="B756">
        <v>1820</v>
      </c>
      <c r="C756">
        <v>1049458</v>
      </c>
      <c r="D756" s="1" t="s">
        <v>16</v>
      </c>
      <c r="E756" s="1" t="s">
        <v>45</v>
      </c>
    </row>
    <row r="757" spans="1:5" x14ac:dyDescent="0.5">
      <c r="A757" s="1" t="s">
        <v>53</v>
      </c>
      <c r="B757">
        <v>1810</v>
      </c>
      <c r="C757">
        <v>810091</v>
      </c>
      <c r="D757" s="1" t="s">
        <v>16</v>
      </c>
      <c r="E757" s="1" t="s">
        <v>45</v>
      </c>
    </row>
    <row r="758" spans="1:5" x14ac:dyDescent="0.5">
      <c r="A758" s="1" t="s">
        <v>53</v>
      </c>
      <c r="B758">
        <v>1800</v>
      </c>
      <c r="C758">
        <v>602365</v>
      </c>
      <c r="D758" s="1" t="s">
        <v>16</v>
      </c>
      <c r="E758" s="1" t="s">
        <v>45</v>
      </c>
    </row>
    <row r="759" spans="1:5" x14ac:dyDescent="0.5">
      <c r="A759" s="1" t="s">
        <v>53</v>
      </c>
      <c r="B759">
        <v>1790</v>
      </c>
      <c r="C759">
        <v>434373</v>
      </c>
      <c r="D759" s="1" t="s">
        <v>16</v>
      </c>
      <c r="E759" s="1" t="s">
        <v>45</v>
      </c>
    </row>
    <row r="760" spans="1:5" x14ac:dyDescent="0.5">
      <c r="A760" s="1" t="s">
        <v>54</v>
      </c>
      <c r="B760">
        <v>2010</v>
      </c>
      <c r="C760">
        <v>1052567</v>
      </c>
      <c r="D760" s="1" t="s">
        <v>16</v>
      </c>
      <c r="E760" s="1" t="s">
        <v>17</v>
      </c>
    </row>
    <row r="761" spans="1:5" x14ac:dyDescent="0.5">
      <c r="A761" s="1" t="s">
        <v>54</v>
      </c>
      <c r="B761">
        <v>2000</v>
      </c>
      <c r="C761">
        <v>1048319</v>
      </c>
      <c r="D761" s="1" t="s">
        <v>16</v>
      </c>
      <c r="E761" s="1" t="s">
        <v>17</v>
      </c>
    </row>
    <row r="762" spans="1:5" x14ac:dyDescent="0.5">
      <c r="A762" s="1" t="s">
        <v>54</v>
      </c>
      <c r="B762">
        <v>1990</v>
      </c>
      <c r="C762">
        <v>1003464</v>
      </c>
      <c r="D762" s="1" t="s">
        <v>16</v>
      </c>
      <c r="E762" s="1" t="s">
        <v>17</v>
      </c>
    </row>
    <row r="763" spans="1:5" x14ac:dyDescent="0.5">
      <c r="A763" s="1" t="s">
        <v>54</v>
      </c>
      <c r="B763">
        <v>1980</v>
      </c>
      <c r="C763">
        <v>947154</v>
      </c>
      <c r="D763" s="1" t="s">
        <v>16</v>
      </c>
      <c r="E763" s="1" t="s">
        <v>17</v>
      </c>
    </row>
    <row r="764" spans="1:5" x14ac:dyDescent="0.5">
      <c r="A764" s="1" t="s">
        <v>54</v>
      </c>
      <c r="B764">
        <v>1970</v>
      </c>
      <c r="C764">
        <v>949723</v>
      </c>
      <c r="D764" s="1" t="s">
        <v>16</v>
      </c>
      <c r="E764" s="1" t="s">
        <v>17</v>
      </c>
    </row>
    <row r="765" spans="1:5" x14ac:dyDescent="0.5">
      <c r="A765" s="1" t="s">
        <v>54</v>
      </c>
      <c r="B765">
        <v>1960</v>
      </c>
      <c r="C765">
        <v>859488</v>
      </c>
      <c r="D765" s="1" t="s">
        <v>16</v>
      </c>
      <c r="E765" s="1" t="s">
        <v>17</v>
      </c>
    </row>
    <row r="766" spans="1:5" x14ac:dyDescent="0.5">
      <c r="A766" s="1" t="s">
        <v>54</v>
      </c>
      <c r="B766">
        <v>1950</v>
      </c>
      <c r="C766">
        <v>791896</v>
      </c>
      <c r="D766" s="1" t="s">
        <v>16</v>
      </c>
      <c r="E766" s="1" t="s">
        <v>17</v>
      </c>
    </row>
    <row r="767" spans="1:5" x14ac:dyDescent="0.5">
      <c r="A767" s="1" t="s">
        <v>54</v>
      </c>
      <c r="B767">
        <v>1940</v>
      </c>
      <c r="C767">
        <v>713346</v>
      </c>
      <c r="D767" s="1" t="s">
        <v>16</v>
      </c>
      <c r="E767" s="1" t="s">
        <v>17</v>
      </c>
    </row>
    <row r="768" spans="1:5" x14ac:dyDescent="0.5">
      <c r="A768" s="1" t="s">
        <v>54</v>
      </c>
      <c r="B768">
        <v>1930</v>
      </c>
      <c r="C768">
        <v>687497</v>
      </c>
      <c r="D768" s="1" t="s">
        <v>16</v>
      </c>
      <c r="E768" s="1" t="s">
        <v>17</v>
      </c>
    </row>
    <row r="769" spans="1:5" x14ac:dyDescent="0.5">
      <c r="A769" s="1" t="s">
        <v>54</v>
      </c>
      <c r="B769">
        <v>1920</v>
      </c>
      <c r="C769">
        <v>604397</v>
      </c>
      <c r="D769" s="1" t="s">
        <v>16</v>
      </c>
      <c r="E769" s="1" t="s">
        <v>17</v>
      </c>
    </row>
    <row r="770" spans="1:5" x14ac:dyDescent="0.5">
      <c r="A770" s="1" t="s">
        <v>54</v>
      </c>
      <c r="B770">
        <v>1910</v>
      </c>
      <c r="C770">
        <v>542610</v>
      </c>
      <c r="D770" s="1" t="s">
        <v>16</v>
      </c>
      <c r="E770" s="1" t="s">
        <v>17</v>
      </c>
    </row>
    <row r="771" spans="1:5" x14ac:dyDescent="0.5">
      <c r="A771" s="1" t="s">
        <v>54</v>
      </c>
      <c r="B771">
        <v>1900</v>
      </c>
      <c r="C771">
        <v>428556</v>
      </c>
      <c r="D771" s="1" t="s">
        <v>16</v>
      </c>
      <c r="E771" s="1" t="s">
        <v>17</v>
      </c>
    </row>
    <row r="772" spans="1:5" x14ac:dyDescent="0.5">
      <c r="A772" s="1" t="s">
        <v>54</v>
      </c>
      <c r="B772">
        <v>1890</v>
      </c>
      <c r="C772">
        <v>345506</v>
      </c>
      <c r="D772" s="1" t="s">
        <v>16</v>
      </c>
      <c r="E772" s="1" t="s">
        <v>17</v>
      </c>
    </row>
    <row r="773" spans="1:5" x14ac:dyDescent="0.5">
      <c r="A773" s="1" t="s">
        <v>54</v>
      </c>
      <c r="B773">
        <v>1880</v>
      </c>
      <c r="C773">
        <v>276531</v>
      </c>
      <c r="D773" s="1" t="s">
        <v>16</v>
      </c>
      <c r="E773" s="1" t="s">
        <v>17</v>
      </c>
    </row>
    <row r="774" spans="1:5" x14ac:dyDescent="0.5">
      <c r="A774" s="1" t="s">
        <v>54</v>
      </c>
      <c r="B774">
        <v>1870</v>
      </c>
      <c r="C774">
        <v>217353</v>
      </c>
      <c r="D774" s="1" t="s">
        <v>16</v>
      </c>
      <c r="E774" s="1" t="s">
        <v>17</v>
      </c>
    </row>
    <row r="775" spans="1:5" x14ac:dyDescent="0.5">
      <c r="A775" s="1" t="s">
        <v>54</v>
      </c>
      <c r="B775">
        <v>1860</v>
      </c>
      <c r="C775">
        <v>174620</v>
      </c>
      <c r="D775" s="1" t="s">
        <v>16</v>
      </c>
      <c r="E775" s="1" t="s">
        <v>17</v>
      </c>
    </row>
    <row r="776" spans="1:5" x14ac:dyDescent="0.5">
      <c r="A776" s="1" t="s">
        <v>54</v>
      </c>
      <c r="B776">
        <v>1850</v>
      </c>
      <c r="C776">
        <v>147545</v>
      </c>
      <c r="D776" s="1" t="s">
        <v>16</v>
      </c>
      <c r="E776" s="1" t="s">
        <v>17</v>
      </c>
    </row>
    <row r="777" spans="1:5" x14ac:dyDescent="0.5">
      <c r="A777" s="1" t="s">
        <v>54</v>
      </c>
      <c r="B777">
        <v>1840</v>
      </c>
      <c r="C777">
        <v>108830</v>
      </c>
      <c r="D777" s="1" t="s">
        <v>16</v>
      </c>
      <c r="E777" s="1" t="s">
        <v>17</v>
      </c>
    </row>
    <row r="778" spans="1:5" x14ac:dyDescent="0.5">
      <c r="A778" s="1" t="s">
        <v>54</v>
      </c>
      <c r="B778">
        <v>1830</v>
      </c>
      <c r="C778">
        <v>97199</v>
      </c>
      <c r="D778" s="1" t="s">
        <v>16</v>
      </c>
      <c r="E778" s="1" t="s">
        <v>17</v>
      </c>
    </row>
    <row r="779" spans="1:5" x14ac:dyDescent="0.5">
      <c r="A779" s="1" t="s">
        <v>54</v>
      </c>
      <c r="B779">
        <v>1820</v>
      </c>
      <c r="C779">
        <v>83059</v>
      </c>
      <c r="D779" s="1" t="s">
        <v>16</v>
      </c>
      <c r="E779" s="1" t="s">
        <v>17</v>
      </c>
    </row>
    <row r="780" spans="1:5" x14ac:dyDescent="0.5">
      <c r="A780" s="1" t="s">
        <v>54</v>
      </c>
      <c r="B780">
        <v>1810</v>
      </c>
      <c r="C780">
        <v>76931</v>
      </c>
      <c r="D780" s="1" t="s">
        <v>16</v>
      </c>
      <c r="E780" s="1" t="s">
        <v>17</v>
      </c>
    </row>
    <row r="781" spans="1:5" x14ac:dyDescent="0.5">
      <c r="A781" s="1" t="s">
        <v>54</v>
      </c>
      <c r="B781">
        <v>1800</v>
      </c>
      <c r="C781">
        <v>69122</v>
      </c>
      <c r="D781" s="1" t="s">
        <v>16</v>
      </c>
      <c r="E781" s="1" t="s">
        <v>17</v>
      </c>
    </row>
    <row r="782" spans="1:5" x14ac:dyDescent="0.5">
      <c r="A782" s="1" t="s">
        <v>54</v>
      </c>
      <c r="B782">
        <v>1790</v>
      </c>
      <c r="C782">
        <v>68825</v>
      </c>
      <c r="D782" s="1" t="s">
        <v>16</v>
      </c>
      <c r="E782" s="1" t="s">
        <v>17</v>
      </c>
    </row>
    <row r="783" spans="1:5" x14ac:dyDescent="0.5">
      <c r="A783" s="1" t="s">
        <v>55</v>
      </c>
      <c r="B783">
        <v>2010</v>
      </c>
      <c r="C783">
        <v>4625364</v>
      </c>
      <c r="D783" s="1" t="s">
        <v>4</v>
      </c>
      <c r="E783" s="1" t="s">
        <v>19</v>
      </c>
    </row>
    <row r="784" spans="1:5" x14ac:dyDescent="0.5">
      <c r="A784" s="1" t="s">
        <v>55</v>
      </c>
      <c r="B784">
        <v>2000</v>
      </c>
      <c r="C784">
        <v>4012012</v>
      </c>
      <c r="D784" s="1" t="s">
        <v>4</v>
      </c>
      <c r="E784" s="1" t="s">
        <v>19</v>
      </c>
    </row>
    <row r="785" spans="1:5" x14ac:dyDescent="0.5">
      <c r="A785" s="1" t="s">
        <v>55</v>
      </c>
      <c r="B785">
        <v>1990</v>
      </c>
      <c r="C785">
        <v>3486703</v>
      </c>
      <c r="D785" s="1" t="s">
        <v>4</v>
      </c>
      <c r="E785" s="1" t="s">
        <v>19</v>
      </c>
    </row>
    <row r="786" spans="1:5" x14ac:dyDescent="0.5">
      <c r="A786" s="1" t="s">
        <v>55</v>
      </c>
      <c r="B786">
        <v>1980</v>
      </c>
      <c r="C786">
        <v>3120729</v>
      </c>
      <c r="D786" s="1" t="s">
        <v>4</v>
      </c>
      <c r="E786" s="1" t="s">
        <v>19</v>
      </c>
    </row>
    <row r="787" spans="1:5" x14ac:dyDescent="0.5">
      <c r="A787" s="1" t="s">
        <v>55</v>
      </c>
      <c r="B787">
        <v>1970</v>
      </c>
      <c r="C787">
        <v>2590713</v>
      </c>
      <c r="D787" s="1" t="s">
        <v>4</v>
      </c>
      <c r="E787" s="1" t="s">
        <v>19</v>
      </c>
    </row>
    <row r="788" spans="1:5" x14ac:dyDescent="0.5">
      <c r="A788" s="1" t="s">
        <v>55</v>
      </c>
      <c r="B788">
        <v>1960</v>
      </c>
      <c r="C788">
        <v>2382594</v>
      </c>
      <c r="D788" s="1" t="s">
        <v>4</v>
      </c>
      <c r="E788" s="1" t="s">
        <v>19</v>
      </c>
    </row>
    <row r="789" spans="1:5" x14ac:dyDescent="0.5">
      <c r="A789" s="1" t="s">
        <v>55</v>
      </c>
      <c r="B789">
        <v>1950</v>
      </c>
      <c r="C789">
        <v>2117027</v>
      </c>
      <c r="D789" s="1" t="s">
        <v>4</v>
      </c>
      <c r="E789" s="1" t="s">
        <v>19</v>
      </c>
    </row>
    <row r="790" spans="1:5" x14ac:dyDescent="0.5">
      <c r="A790" s="1" t="s">
        <v>55</v>
      </c>
      <c r="B790">
        <v>1940</v>
      </c>
      <c r="C790">
        <v>1899804</v>
      </c>
      <c r="D790" s="1" t="s">
        <v>4</v>
      </c>
      <c r="E790" s="1" t="s">
        <v>19</v>
      </c>
    </row>
    <row r="791" spans="1:5" x14ac:dyDescent="0.5">
      <c r="A791" s="1" t="s">
        <v>55</v>
      </c>
      <c r="B791">
        <v>1930</v>
      </c>
      <c r="C791">
        <v>1738765</v>
      </c>
      <c r="D791" s="1" t="s">
        <v>4</v>
      </c>
      <c r="E791" s="1" t="s">
        <v>19</v>
      </c>
    </row>
    <row r="792" spans="1:5" x14ac:dyDescent="0.5">
      <c r="A792" s="1" t="s">
        <v>55</v>
      </c>
      <c r="B792">
        <v>1920</v>
      </c>
      <c r="C792">
        <v>1683724</v>
      </c>
      <c r="D792" s="1" t="s">
        <v>4</v>
      </c>
      <c r="E792" s="1" t="s">
        <v>19</v>
      </c>
    </row>
    <row r="793" spans="1:5" x14ac:dyDescent="0.5">
      <c r="A793" s="1" t="s">
        <v>55</v>
      </c>
      <c r="B793">
        <v>1910</v>
      </c>
      <c r="C793">
        <v>1515400</v>
      </c>
      <c r="D793" s="1" t="s">
        <v>4</v>
      </c>
      <c r="E793" s="1" t="s">
        <v>19</v>
      </c>
    </row>
    <row r="794" spans="1:5" x14ac:dyDescent="0.5">
      <c r="A794" s="1" t="s">
        <v>55</v>
      </c>
      <c r="B794">
        <v>1900</v>
      </c>
      <c r="C794">
        <v>1340316</v>
      </c>
      <c r="D794" s="1" t="s">
        <v>4</v>
      </c>
      <c r="E794" s="1" t="s">
        <v>19</v>
      </c>
    </row>
    <row r="795" spans="1:5" x14ac:dyDescent="0.5">
      <c r="A795" s="1" t="s">
        <v>55</v>
      </c>
      <c r="B795">
        <v>1890</v>
      </c>
      <c r="C795">
        <v>1151149</v>
      </c>
      <c r="D795" s="1" t="s">
        <v>4</v>
      </c>
      <c r="E795" s="1" t="s">
        <v>19</v>
      </c>
    </row>
    <row r="796" spans="1:5" x14ac:dyDescent="0.5">
      <c r="A796" s="1" t="s">
        <v>55</v>
      </c>
      <c r="B796">
        <v>1880</v>
      </c>
      <c r="C796">
        <v>995577</v>
      </c>
      <c r="D796" s="1" t="s">
        <v>4</v>
      </c>
      <c r="E796" s="1" t="s">
        <v>19</v>
      </c>
    </row>
    <row r="797" spans="1:5" x14ac:dyDescent="0.5">
      <c r="A797" s="1" t="s">
        <v>55</v>
      </c>
      <c r="B797">
        <v>1870</v>
      </c>
      <c r="C797">
        <v>705606</v>
      </c>
      <c r="D797" s="1" t="s">
        <v>4</v>
      </c>
      <c r="E797" s="1" t="s">
        <v>19</v>
      </c>
    </row>
    <row r="798" spans="1:5" x14ac:dyDescent="0.5">
      <c r="A798" s="1" t="s">
        <v>55</v>
      </c>
      <c r="B798">
        <v>1860</v>
      </c>
      <c r="C798">
        <v>703708</v>
      </c>
      <c r="D798" s="1" t="s">
        <v>4</v>
      </c>
      <c r="E798" s="1" t="s">
        <v>19</v>
      </c>
    </row>
    <row r="799" spans="1:5" x14ac:dyDescent="0.5">
      <c r="A799" s="1" t="s">
        <v>55</v>
      </c>
      <c r="B799">
        <v>1850</v>
      </c>
      <c r="C799">
        <v>668507</v>
      </c>
      <c r="D799" s="1" t="s">
        <v>4</v>
      </c>
      <c r="E799" s="1" t="s">
        <v>19</v>
      </c>
    </row>
    <row r="800" spans="1:5" x14ac:dyDescent="0.5">
      <c r="A800" s="1" t="s">
        <v>55</v>
      </c>
      <c r="B800">
        <v>1840</v>
      </c>
      <c r="C800">
        <v>594398</v>
      </c>
      <c r="D800" s="1" t="s">
        <v>4</v>
      </c>
      <c r="E800" s="1" t="s">
        <v>19</v>
      </c>
    </row>
    <row r="801" spans="1:5" x14ac:dyDescent="0.5">
      <c r="A801" s="1" t="s">
        <v>55</v>
      </c>
      <c r="B801">
        <v>1830</v>
      </c>
      <c r="C801">
        <v>581185</v>
      </c>
      <c r="D801" s="1" t="s">
        <v>4</v>
      </c>
      <c r="E801" s="1" t="s">
        <v>19</v>
      </c>
    </row>
    <row r="802" spans="1:5" x14ac:dyDescent="0.5">
      <c r="A802" s="1" t="s">
        <v>55</v>
      </c>
      <c r="B802">
        <v>1820</v>
      </c>
      <c r="C802">
        <v>502741</v>
      </c>
      <c r="D802" s="1" t="s">
        <v>4</v>
      </c>
      <c r="E802" s="1" t="s">
        <v>19</v>
      </c>
    </row>
    <row r="803" spans="1:5" x14ac:dyDescent="0.5">
      <c r="A803" s="1" t="s">
        <v>55</v>
      </c>
      <c r="B803">
        <v>1810</v>
      </c>
      <c r="C803">
        <v>415115</v>
      </c>
      <c r="D803" s="1" t="s">
        <v>4</v>
      </c>
      <c r="E803" s="1" t="s">
        <v>19</v>
      </c>
    </row>
    <row r="804" spans="1:5" x14ac:dyDescent="0.5">
      <c r="A804" s="1" t="s">
        <v>55</v>
      </c>
      <c r="B804">
        <v>1800</v>
      </c>
      <c r="C804">
        <v>345591</v>
      </c>
      <c r="D804" s="1" t="s">
        <v>4</v>
      </c>
      <c r="E804" s="1" t="s">
        <v>19</v>
      </c>
    </row>
    <row r="805" spans="1:5" x14ac:dyDescent="0.5">
      <c r="A805" s="1" t="s">
        <v>55</v>
      </c>
      <c r="B805">
        <v>1790</v>
      </c>
      <c r="C805">
        <v>249073</v>
      </c>
      <c r="D805" s="1" t="s">
        <v>4</v>
      </c>
      <c r="E805" s="1" t="s">
        <v>19</v>
      </c>
    </row>
    <row r="806" spans="1:5" x14ac:dyDescent="0.5">
      <c r="A806" s="1" t="s">
        <v>56</v>
      </c>
      <c r="B806">
        <v>2010</v>
      </c>
      <c r="C806">
        <v>814180</v>
      </c>
      <c r="D806" s="1" t="s">
        <v>25</v>
      </c>
      <c r="E806" s="1" t="s">
        <v>29</v>
      </c>
    </row>
    <row r="807" spans="1:5" x14ac:dyDescent="0.5">
      <c r="A807" s="1" t="s">
        <v>56</v>
      </c>
      <c r="B807">
        <v>2000</v>
      </c>
      <c r="C807">
        <v>754844</v>
      </c>
      <c r="D807" s="1" t="s">
        <v>25</v>
      </c>
      <c r="E807" s="1" t="s">
        <v>29</v>
      </c>
    </row>
    <row r="808" spans="1:5" x14ac:dyDescent="0.5">
      <c r="A808" s="1" t="s">
        <v>56</v>
      </c>
      <c r="B808">
        <v>1990</v>
      </c>
      <c r="C808">
        <v>696004</v>
      </c>
      <c r="D808" s="1" t="s">
        <v>25</v>
      </c>
      <c r="E808" s="1" t="s">
        <v>29</v>
      </c>
    </row>
    <row r="809" spans="1:5" x14ac:dyDescent="0.5">
      <c r="A809" s="1" t="s">
        <v>56</v>
      </c>
      <c r="B809">
        <v>1980</v>
      </c>
      <c r="C809">
        <v>690768</v>
      </c>
      <c r="D809" s="1" t="s">
        <v>25</v>
      </c>
      <c r="E809" s="1" t="s">
        <v>29</v>
      </c>
    </row>
    <row r="810" spans="1:5" x14ac:dyDescent="0.5">
      <c r="A810" s="1" t="s">
        <v>56</v>
      </c>
      <c r="B810">
        <v>1970</v>
      </c>
      <c r="C810">
        <v>666257</v>
      </c>
      <c r="D810" s="1" t="s">
        <v>25</v>
      </c>
      <c r="E810" s="1" t="s">
        <v>29</v>
      </c>
    </row>
    <row r="811" spans="1:5" x14ac:dyDescent="0.5">
      <c r="A811" s="1" t="s">
        <v>56</v>
      </c>
      <c r="B811">
        <v>1960</v>
      </c>
      <c r="C811">
        <v>680514</v>
      </c>
      <c r="D811" s="1" t="s">
        <v>25</v>
      </c>
      <c r="E811" s="1" t="s">
        <v>29</v>
      </c>
    </row>
    <row r="812" spans="1:5" x14ac:dyDescent="0.5">
      <c r="A812" s="1" t="s">
        <v>56</v>
      </c>
      <c r="B812">
        <v>1950</v>
      </c>
      <c r="C812">
        <v>652740</v>
      </c>
      <c r="D812" s="1" t="s">
        <v>25</v>
      </c>
      <c r="E812" s="1" t="s">
        <v>29</v>
      </c>
    </row>
    <row r="813" spans="1:5" x14ac:dyDescent="0.5">
      <c r="A813" s="1" t="s">
        <v>56</v>
      </c>
      <c r="B813">
        <v>1940</v>
      </c>
      <c r="C813">
        <v>642961</v>
      </c>
      <c r="D813" s="1" t="s">
        <v>25</v>
      </c>
      <c r="E813" s="1" t="s">
        <v>29</v>
      </c>
    </row>
    <row r="814" spans="1:5" x14ac:dyDescent="0.5">
      <c r="A814" s="1" t="s">
        <v>56</v>
      </c>
      <c r="B814">
        <v>1930</v>
      </c>
      <c r="C814">
        <v>692849</v>
      </c>
      <c r="D814" s="1" t="s">
        <v>25</v>
      </c>
      <c r="E814" s="1" t="s">
        <v>29</v>
      </c>
    </row>
    <row r="815" spans="1:5" x14ac:dyDescent="0.5">
      <c r="A815" s="1" t="s">
        <v>56</v>
      </c>
      <c r="B815">
        <v>1920</v>
      </c>
      <c r="C815">
        <v>636547</v>
      </c>
      <c r="D815" s="1" t="s">
        <v>25</v>
      </c>
      <c r="E815" s="1" t="s">
        <v>29</v>
      </c>
    </row>
    <row r="816" spans="1:5" x14ac:dyDescent="0.5">
      <c r="A816" s="1" t="s">
        <v>56</v>
      </c>
      <c r="B816">
        <v>1910</v>
      </c>
      <c r="C816">
        <v>583888</v>
      </c>
      <c r="D816" s="1" t="s">
        <v>25</v>
      </c>
      <c r="E816" s="1" t="s">
        <v>29</v>
      </c>
    </row>
    <row r="817" spans="1:5" x14ac:dyDescent="0.5">
      <c r="A817" s="1" t="s">
        <v>56</v>
      </c>
      <c r="B817">
        <v>1900</v>
      </c>
      <c r="C817">
        <v>401570</v>
      </c>
      <c r="D817" s="1" t="s">
        <v>25</v>
      </c>
      <c r="E817" s="1" t="s">
        <v>29</v>
      </c>
    </row>
    <row r="818" spans="1:5" x14ac:dyDescent="0.5">
      <c r="A818" s="1" t="s">
        <v>56</v>
      </c>
      <c r="B818">
        <v>1890</v>
      </c>
      <c r="C818">
        <v>348600</v>
      </c>
      <c r="D818" s="1" t="s">
        <v>25</v>
      </c>
      <c r="E818" s="1" t="s">
        <v>29</v>
      </c>
    </row>
    <row r="819" spans="1:5" x14ac:dyDescent="0.5">
      <c r="A819" s="1" t="s">
        <v>56</v>
      </c>
      <c r="B819">
        <v>1880</v>
      </c>
      <c r="C819">
        <v>98268</v>
      </c>
      <c r="D819" s="1" t="s">
        <v>25</v>
      </c>
      <c r="E819" s="1" t="s">
        <v>29</v>
      </c>
    </row>
    <row r="820" spans="1:5" x14ac:dyDescent="0.5">
      <c r="A820" s="1" t="s">
        <v>56</v>
      </c>
      <c r="B820">
        <v>1870</v>
      </c>
      <c r="C820">
        <v>11776</v>
      </c>
      <c r="D820" s="1" t="s">
        <v>25</v>
      </c>
      <c r="E820" s="1" t="s">
        <v>29</v>
      </c>
    </row>
    <row r="821" spans="1:5" x14ac:dyDescent="0.5">
      <c r="A821" s="1" t="s">
        <v>56</v>
      </c>
      <c r="B821">
        <v>1860</v>
      </c>
      <c r="C821">
        <v>4837</v>
      </c>
      <c r="D821" s="1" t="s">
        <v>25</v>
      </c>
      <c r="E821" s="1" t="s">
        <v>29</v>
      </c>
    </row>
    <row r="822" spans="1:5" x14ac:dyDescent="0.5">
      <c r="A822" s="1" t="s">
        <v>57</v>
      </c>
      <c r="B822">
        <v>2010</v>
      </c>
      <c r="C822">
        <v>6346105</v>
      </c>
      <c r="D822" s="1" t="s">
        <v>4</v>
      </c>
      <c r="E822" s="1" t="s">
        <v>5</v>
      </c>
    </row>
    <row r="823" spans="1:5" x14ac:dyDescent="0.5">
      <c r="A823" s="1" t="s">
        <v>57</v>
      </c>
      <c r="B823">
        <v>2000</v>
      </c>
      <c r="C823">
        <v>5689283</v>
      </c>
      <c r="D823" s="1" t="s">
        <v>4</v>
      </c>
      <c r="E823" s="1" t="s">
        <v>5</v>
      </c>
    </row>
    <row r="824" spans="1:5" x14ac:dyDescent="0.5">
      <c r="A824" s="1" t="s">
        <v>57</v>
      </c>
      <c r="B824">
        <v>1990</v>
      </c>
      <c r="C824">
        <v>4877185</v>
      </c>
      <c r="D824" s="1" t="s">
        <v>4</v>
      </c>
      <c r="E824" s="1" t="s">
        <v>5</v>
      </c>
    </row>
    <row r="825" spans="1:5" x14ac:dyDescent="0.5">
      <c r="A825" s="1" t="s">
        <v>57</v>
      </c>
      <c r="B825">
        <v>1980</v>
      </c>
      <c r="C825">
        <v>4591023</v>
      </c>
      <c r="D825" s="1" t="s">
        <v>4</v>
      </c>
      <c r="E825" s="1" t="s">
        <v>5</v>
      </c>
    </row>
    <row r="826" spans="1:5" x14ac:dyDescent="0.5">
      <c r="A826" s="1" t="s">
        <v>57</v>
      </c>
      <c r="B826">
        <v>1970</v>
      </c>
      <c r="C826">
        <v>3926018</v>
      </c>
      <c r="D826" s="1" t="s">
        <v>4</v>
      </c>
      <c r="E826" s="1" t="s">
        <v>5</v>
      </c>
    </row>
    <row r="827" spans="1:5" x14ac:dyDescent="0.5">
      <c r="A827" s="1" t="s">
        <v>57</v>
      </c>
      <c r="B827">
        <v>1960</v>
      </c>
      <c r="C827">
        <v>3567089</v>
      </c>
      <c r="D827" s="1" t="s">
        <v>4</v>
      </c>
      <c r="E827" s="1" t="s">
        <v>5</v>
      </c>
    </row>
    <row r="828" spans="1:5" x14ac:dyDescent="0.5">
      <c r="A828" s="1" t="s">
        <v>57</v>
      </c>
      <c r="B828">
        <v>1950</v>
      </c>
      <c r="C828">
        <v>3291718</v>
      </c>
      <c r="D828" s="1" t="s">
        <v>4</v>
      </c>
      <c r="E828" s="1" t="s">
        <v>5</v>
      </c>
    </row>
    <row r="829" spans="1:5" x14ac:dyDescent="0.5">
      <c r="A829" s="1" t="s">
        <v>57</v>
      </c>
      <c r="B829">
        <v>1940</v>
      </c>
      <c r="C829">
        <v>2915841</v>
      </c>
      <c r="D829" s="1" t="s">
        <v>4</v>
      </c>
      <c r="E829" s="1" t="s">
        <v>5</v>
      </c>
    </row>
    <row r="830" spans="1:5" x14ac:dyDescent="0.5">
      <c r="A830" s="1" t="s">
        <v>57</v>
      </c>
      <c r="B830">
        <v>1930</v>
      </c>
      <c r="C830">
        <v>2616556</v>
      </c>
      <c r="D830" s="1" t="s">
        <v>4</v>
      </c>
      <c r="E830" s="1" t="s">
        <v>5</v>
      </c>
    </row>
    <row r="831" spans="1:5" x14ac:dyDescent="0.5">
      <c r="A831" s="1" t="s">
        <v>57</v>
      </c>
      <c r="B831">
        <v>1920</v>
      </c>
      <c r="C831">
        <v>2337885</v>
      </c>
      <c r="D831" s="1" t="s">
        <v>4</v>
      </c>
      <c r="E831" s="1" t="s">
        <v>5</v>
      </c>
    </row>
    <row r="832" spans="1:5" x14ac:dyDescent="0.5">
      <c r="A832" s="1" t="s">
        <v>57</v>
      </c>
      <c r="B832">
        <v>1910</v>
      </c>
      <c r="C832">
        <v>2184789</v>
      </c>
      <c r="D832" s="1" t="s">
        <v>4</v>
      </c>
      <c r="E832" s="1" t="s">
        <v>5</v>
      </c>
    </row>
    <row r="833" spans="1:5" x14ac:dyDescent="0.5">
      <c r="A833" s="1" t="s">
        <v>57</v>
      </c>
      <c r="B833">
        <v>1900</v>
      </c>
      <c r="C833">
        <v>2020616</v>
      </c>
      <c r="D833" s="1" t="s">
        <v>4</v>
      </c>
      <c r="E833" s="1" t="s">
        <v>5</v>
      </c>
    </row>
    <row r="834" spans="1:5" x14ac:dyDescent="0.5">
      <c r="A834" s="1" t="s">
        <v>57</v>
      </c>
      <c r="B834">
        <v>1890</v>
      </c>
      <c r="C834">
        <v>1767518</v>
      </c>
      <c r="D834" s="1" t="s">
        <v>4</v>
      </c>
      <c r="E834" s="1" t="s">
        <v>5</v>
      </c>
    </row>
    <row r="835" spans="1:5" x14ac:dyDescent="0.5">
      <c r="A835" s="1" t="s">
        <v>57</v>
      </c>
      <c r="B835">
        <v>1880</v>
      </c>
      <c r="C835">
        <v>1542359</v>
      </c>
      <c r="D835" s="1" t="s">
        <v>4</v>
      </c>
      <c r="E835" s="1" t="s">
        <v>5</v>
      </c>
    </row>
    <row r="836" spans="1:5" x14ac:dyDescent="0.5">
      <c r="A836" s="1" t="s">
        <v>57</v>
      </c>
      <c r="B836">
        <v>1870</v>
      </c>
      <c r="C836">
        <v>1258520</v>
      </c>
      <c r="D836" s="1" t="s">
        <v>4</v>
      </c>
      <c r="E836" s="1" t="s">
        <v>5</v>
      </c>
    </row>
    <row r="837" spans="1:5" x14ac:dyDescent="0.5">
      <c r="A837" s="1" t="s">
        <v>57</v>
      </c>
      <c r="B837">
        <v>1860</v>
      </c>
      <c r="C837">
        <v>1109801</v>
      </c>
      <c r="D837" s="1" t="s">
        <v>4</v>
      </c>
      <c r="E837" s="1" t="s">
        <v>5</v>
      </c>
    </row>
    <row r="838" spans="1:5" x14ac:dyDescent="0.5">
      <c r="A838" s="1" t="s">
        <v>57</v>
      </c>
      <c r="B838">
        <v>1850</v>
      </c>
      <c r="C838">
        <v>1002717</v>
      </c>
      <c r="D838" s="1" t="s">
        <v>4</v>
      </c>
      <c r="E838" s="1" t="s">
        <v>5</v>
      </c>
    </row>
    <row r="839" spans="1:5" x14ac:dyDescent="0.5">
      <c r="A839" s="1" t="s">
        <v>57</v>
      </c>
      <c r="B839">
        <v>1840</v>
      </c>
      <c r="C839">
        <v>829210</v>
      </c>
      <c r="D839" s="1" t="s">
        <v>4</v>
      </c>
      <c r="E839" s="1" t="s">
        <v>5</v>
      </c>
    </row>
    <row r="840" spans="1:5" x14ac:dyDescent="0.5">
      <c r="A840" s="1" t="s">
        <v>57</v>
      </c>
      <c r="B840">
        <v>1830</v>
      </c>
      <c r="C840">
        <v>681904</v>
      </c>
      <c r="D840" s="1" t="s">
        <v>4</v>
      </c>
      <c r="E840" s="1" t="s">
        <v>5</v>
      </c>
    </row>
    <row r="841" spans="1:5" x14ac:dyDescent="0.5">
      <c r="A841" s="1" t="s">
        <v>57</v>
      </c>
      <c r="B841">
        <v>1820</v>
      </c>
      <c r="C841">
        <v>422823</v>
      </c>
      <c r="D841" s="1" t="s">
        <v>4</v>
      </c>
      <c r="E841" s="1" t="s">
        <v>5</v>
      </c>
    </row>
    <row r="842" spans="1:5" x14ac:dyDescent="0.5">
      <c r="A842" s="1" t="s">
        <v>57</v>
      </c>
      <c r="B842">
        <v>1810</v>
      </c>
      <c r="C842">
        <v>261727</v>
      </c>
      <c r="D842" s="1" t="s">
        <v>4</v>
      </c>
      <c r="E842" s="1" t="s">
        <v>5</v>
      </c>
    </row>
    <row r="843" spans="1:5" x14ac:dyDescent="0.5">
      <c r="A843" s="1" t="s">
        <v>57</v>
      </c>
      <c r="B843">
        <v>1800</v>
      </c>
      <c r="C843">
        <v>105602</v>
      </c>
      <c r="D843" s="1" t="s">
        <v>4</v>
      </c>
      <c r="E843" s="1" t="s">
        <v>5</v>
      </c>
    </row>
    <row r="844" spans="1:5" x14ac:dyDescent="0.5">
      <c r="A844" s="1" t="s">
        <v>57</v>
      </c>
      <c r="B844">
        <v>1790</v>
      </c>
      <c r="C844">
        <v>35691</v>
      </c>
      <c r="D844" s="1" t="s">
        <v>4</v>
      </c>
      <c r="E844" s="1" t="s">
        <v>5</v>
      </c>
    </row>
    <row r="845" spans="1:5" x14ac:dyDescent="0.5">
      <c r="A845" s="1" t="s">
        <v>58</v>
      </c>
      <c r="B845">
        <v>2010</v>
      </c>
      <c r="C845">
        <v>25145561</v>
      </c>
      <c r="D845" s="1" t="s">
        <v>4</v>
      </c>
      <c r="E845" s="1" t="s">
        <v>12</v>
      </c>
    </row>
    <row r="846" spans="1:5" x14ac:dyDescent="0.5">
      <c r="A846" s="1" t="s">
        <v>58</v>
      </c>
      <c r="B846">
        <v>2000</v>
      </c>
      <c r="C846">
        <v>20851820</v>
      </c>
      <c r="D846" s="1" t="s">
        <v>4</v>
      </c>
      <c r="E846" s="1" t="s">
        <v>12</v>
      </c>
    </row>
    <row r="847" spans="1:5" x14ac:dyDescent="0.5">
      <c r="A847" s="1" t="s">
        <v>58</v>
      </c>
      <c r="B847">
        <v>1990</v>
      </c>
      <c r="C847">
        <v>16986510</v>
      </c>
      <c r="D847" s="1" t="s">
        <v>4</v>
      </c>
      <c r="E847" s="1" t="s">
        <v>12</v>
      </c>
    </row>
    <row r="848" spans="1:5" x14ac:dyDescent="0.5">
      <c r="A848" s="1" t="s">
        <v>58</v>
      </c>
      <c r="B848">
        <v>1980</v>
      </c>
      <c r="C848">
        <v>14255513</v>
      </c>
      <c r="D848" s="1" t="s">
        <v>4</v>
      </c>
      <c r="E848" s="1" t="s">
        <v>12</v>
      </c>
    </row>
    <row r="849" spans="1:5" x14ac:dyDescent="0.5">
      <c r="A849" s="1" t="s">
        <v>58</v>
      </c>
      <c r="B849">
        <v>1970</v>
      </c>
      <c r="C849">
        <v>11198655</v>
      </c>
      <c r="D849" s="1" t="s">
        <v>4</v>
      </c>
      <c r="E849" s="1" t="s">
        <v>12</v>
      </c>
    </row>
    <row r="850" spans="1:5" x14ac:dyDescent="0.5">
      <c r="A850" s="1" t="s">
        <v>58</v>
      </c>
      <c r="B850">
        <v>1960</v>
      </c>
      <c r="C850">
        <v>9579677</v>
      </c>
      <c r="D850" s="1" t="s">
        <v>4</v>
      </c>
      <c r="E850" s="1" t="s">
        <v>12</v>
      </c>
    </row>
    <row r="851" spans="1:5" x14ac:dyDescent="0.5">
      <c r="A851" s="1" t="s">
        <v>58</v>
      </c>
      <c r="B851">
        <v>1950</v>
      </c>
      <c r="C851">
        <v>7711194</v>
      </c>
      <c r="D851" s="1" t="s">
        <v>4</v>
      </c>
      <c r="E851" s="1" t="s">
        <v>12</v>
      </c>
    </row>
    <row r="852" spans="1:5" x14ac:dyDescent="0.5">
      <c r="A852" s="1" t="s">
        <v>58</v>
      </c>
      <c r="B852">
        <v>1940</v>
      </c>
      <c r="C852">
        <v>6414824</v>
      </c>
      <c r="D852" s="1" t="s">
        <v>4</v>
      </c>
      <c r="E852" s="1" t="s">
        <v>12</v>
      </c>
    </row>
    <row r="853" spans="1:5" x14ac:dyDescent="0.5">
      <c r="A853" s="1" t="s">
        <v>58</v>
      </c>
      <c r="B853">
        <v>1930</v>
      </c>
      <c r="C853">
        <v>5824715</v>
      </c>
      <c r="D853" s="1" t="s">
        <v>4</v>
      </c>
      <c r="E853" s="1" t="s">
        <v>12</v>
      </c>
    </row>
    <row r="854" spans="1:5" x14ac:dyDescent="0.5">
      <c r="A854" s="1" t="s">
        <v>58</v>
      </c>
      <c r="B854">
        <v>1920</v>
      </c>
      <c r="C854">
        <v>4663228</v>
      </c>
      <c r="D854" s="1" t="s">
        <v>4</v>
      </c>
      <c r="E854" s="1" t="s">
        <v>12</v>
      </c>
    </row>
    <row r="855" spans="1:5" x14ac:dyDescent="0.5">
      <c r="A855" s="1" t="s">
        <v>58</v>
      </c>
      <c r="B855">
        <v>1910</v>
      </c>
      <c r="C855">
        <v>3896542</v>
      </c>
      <c r="D855" s="1" t="s">
        <v>4</v>
      </c>
      <c r="E855" s="1" t="s">
        <v>12</v>
      </c>
    </row>
    <row r="856" spans="1:5" x14ac:dyDescent="0.5">
      <c r="A856" s="1" t="s">
        <v>58</v>
      </c>
      <c r="B856">
        <v>1900</v>
      </c>
      <c r="C856">
        <v>3048710</v>
      </c>
      <c r="D856" s="1" t="s">
        <v>4</v>
      </c>
      <c r="E856" s="1" t="s">
        <v>12</v>
      </c>
    </row>
    <row r="857" spans="1:5" x14ac:dyDescent="0.5">
      <c r="A857" s="1" t="s">
        <v>58</v>
      </c>
      <c r="B857">
        <v>1890</v>
      </c>
      <c r="C857">
        <v>2235527</v>
      </c>
      <c r="D857" s="1" t="s">
        <v>4</v>
      </c>
      <c r="E857" s="1" t="s">
        <v>12</v>
      </c>
    </row>
    <row r="858" spans="1:5" x14ac:dyDescent="0.5">
      <c r="A858" s="1" t="s">
        <v>58</v>
      </c>
      <c r="B858">
        <v>1880</v>
      </c>
      <c r="C858">
        <v>1591749</v>
      </c>
      <c r="D858" s="1" t="s">
        <v>4</v>
      </c>
      <c r="E858" s="1" t="s">
        <v>12</v>
      </c>
    </row>
    <row r="859" spans="1:5" x14ac:dyDescent="0.5">
      <c r="A859" s="1" t="s">
        <v>58</v>
      </c>
      <c r="B859">
        <v>1870</v>
      </c>
      <c r="C859">
        <v>818579</v>
      </c>
      <c r="D859" s="1" t="s">
        <v>4</v>
      </c>
      <c r="E859" s="1" t="s">
        <v>12</v>
      </c>
    </row>
    <row r="860" spans="1:5" x14ac:dyDescent="0.5">
      <c r="A860" s="1" t="s">
        <v>58</v>
      </c>
      <c r="B860">
        <v>1860</v>
      </c>
      <c r="C860">
        <v>604215</v>
      </c>
      <c r="D860" s="1" t="s">
        <v>4</v>
      </c>
      <c r="E860" s="1" t="s">
        <v>12</v>
      </c>
    </row>
    <row r="861" spans="1:5" x14ac:dyDescent="0.5">
      <c r="A861" s="1" t="s">
        <v>58</v>
      </c>
      <c r="B861">
        <v>1850</v>
      </c>
      <c r="C861">
        <v>212592</v>
      </c>
      <c r="D861" s="1" t="s">
        <v>4</v>
      </c>
      <c r="E861" s="1" t="s">
        <v>12</v>
      </c>
    </row>
    <row r="862" spans="1:5" x14ac:dyDescent="0.5">
      <c r="A862" s="1" t="s">
        <v>59</v>
      </c>
      <c r="B862">
        <v>2010</v>
      </c>
      <c r="C862">
        <v>2763885</v>
      </c>
      <c r="D862" s="1" t="s">
        <v>7</v>
      </c>
      <c r="E862" s="1" t="s">
        <v>10</v>
      </c>
    </row>
    <row r="863" spans="1:5" x14ac:dyDescent="0.5">
      <c r="A863" s="1" t="s">
        <v>59</v>
      </c>
      <c r="B863">
        <v>2000</v>
      </c>
      <c r="C863">
        <v>2233169</v>
      </c>
      <c r="D863" s="1" t="s">
        <v>7</v>
      </c>
      <c r="E863" s="1" t="s">
        <v>10</v>
      </c>
    </row>
    <row r="864" spans="1:5" x14ac:dyDescent="0.5">
      <c r="A864" s="1" t="s">
        <v>59</v>
      </c>
      <c r="B864">
        <v>1990</v>
      </c>
      <c r="C864">
        <v>1722850</v>
      </c>
      <c r="D864" s="1" t="s">
        <v>7</v>
      </c>
      <c r="E864" s="1" t="s">
        <v>10</v>
      </c>
    </row>
    <row r="865" spans="1:5" x14ac:dyDescent="0.5">
      <c r="A865" s="1" t="s">
        <v>59</v>
      </c>
      <c r="B865">
        <v>1980</v>
      </c>
      <c r="C865">
        <v>1461037</v>
      </c>
      <c r="D865" s="1" t="s">
        <v>7</v>
      </c>
      <c r="E865" s="1" t="s">
        <v>10</v>
      </c>
    </row>
    <row r="866" spans="1:5" x14ac:dyDescent="0.5">
      <c r="A866" s="1" t="s">
        <v>59</v>
      </c>
      <c r="B866">
        <v>1970</v>
      </c>
      <c r="C866">
        <v>1059273</v>
      </c>
      <c r="D866" s="1" t="s">
        <v>7</v>
      </c>
      <c r="E866" s="1" t="s">
        <v>10</v>
      </c>
    </row>
    <row r="867" spans="1:5" x14ac:dyDescent="0.5">
      <c r="A867" s="1" t="s">
        <v>59</v>
      </c>
      <c r="B867">
        <v>1960</v>
      </c>
      <c r="C867">
        <v>890627</v>
      </c>
      <c r="D867" s="1" t="s">
        <v>7</v>
      </c>
      <c r="E867" s="1" t="s">
        <v>10</v>
      </c>
    </row>
    <row r="868" spans="1:5" x14ac:dyDescent="0.5">
      <c r="A868" s="1" t="s">
        <v>59</v>
      </c>
      <c r="B868">
        <v>1950</v>
      </c>
      <c r="C868">
        <v>688862</v>
      </c>
      <c r="D868" s="1" t="s">
        <v>7</v>
      </c>
      <c r="E868" s="1" t="s">
        <v>10</v>
      </c>
    </row>
    <row r="869" spans="1:5" x14ac:dyDescent="0.5">
      <c r="A869" s="1" t="s">
        <v>59</v>
      </c>
      <c r="B869">
        <v>1940</v>
      </c>
      <c r="C869">
        <v>550310</v>
      </c>
      <c r="D869" s="1" t="s">
        <v>7</v>
      </c>
      <c r="E869" s="1" t="s">
        <v>10</v>
      </c>
    </row>
    <row r="870" spans="1:5" x14ac:dyDescent="0.5">
      <c r="A870" s="1" t="s">
        <v>59</v>
      </c>
      <c r="B870">
        <v>1930</v>
      </c>
      <c r="C870">
        <v>507847</v>
      </c>
      <c r="D870" s="1" t="s">
        <v>7</v>
      </c>
      <c r="E870" s="1" t="s">
        <v>10</v>
      </c>
    </row>
    <row r="871" spans="1:5" x14ac:dyDescent="0.5">
      <c r="A871" s="1" t="s">
        <v>59</v>
      </c>
      <c r="B871">
        <v>1920</v>
      </c>
      <c r="C871">
        <v>449396</v>
      </c>
      <c r="D871" s="1" t="s">
        <v>7</v>
      </c>
      <c r="E871" s="1" t="s">
        <v>10</v>
      </c>
    </row>
    <row r="872" spans="1:5" x14ac:dyDescent="0.5">
      <c r="A872" s="1" t="s">
        <v>59</v>
      </c>
      <c r="B872">
        <v>1910</v>
      </c>
      <c r="C872">
        <v>373351</v>
      </c>
      <c r="D872" s="1" t="s">
        <v>7</v>
      </c>
      <c r="E872" s="1" t="s">
        <v>10</v>
      </c>
    </row>
    <row r="873" spans="1:5" x14ac:dyDescent="0.5">
      <c r="A873" s="1" t="s">
        <v>59</v>
      </c>
      <c r="B873">
        <v>1900</v>
      </c>
      <c r="C873">
        <v>276749</v>
      </c>
      <c r="D873" s="1" t="s">
        <v>7</v>
      </c>
      <c r="E873" s="1" t="s">
        <v>10</v>
      </c>
    </row>
    <row r="874" spans="1:5" x14ac:dyDescent="0.5">
      <c r="A874" s="1" t="s">
        <v>59</v>
      </c>
      <c r="B874">
        <v>1890</v>
      </c>
      <c r="C874">
        <v>210779</v>
      </c>
      <c r="D874" s="1" t="s">
        <v>7</v>
      </c>
      <c r="E874" s="1" t="s">
        <v>10</v>
      </c>
    </row>
    <row r="875" spans="1:5" x14ac:dyDescent="0.5">
      <c r="A875" s="1" t="s">
        <v>59</v>
      </c>
      <c r="B875">
        <v>1880</v>
      </c>
      <c r="C875">
        <v>143963</v>
      </c>
      <c r="D875" s="1" t="s">
        <v>7</v>
      </c>
      <c r="E875" s="1" t="s">
        <v>10</v>
      </c>
    </row>
    <row r="876" spans="1:5" x14ac:dyDescent="0.5">
      <c r="A876" s="1" t="s">
        <v>59</v>
      </c>
      <c r="B876">
        <v>1870</v>
      </c>
      <c r="C876">
        <v>86786</v>
      </c>
      <c r="D876" s="1" t="s">
        <v>7</v>
      </c>
      <c r="E876" s="1" t="s">
        <v>10</v>
      </c>
    </row>
    <row r="877" spans="1:5" x14ac:dyDescent="0.5">
      <c r="A877" s="1" t="s">
        <v>59</v>
      </c>
      <c r="B877">
        <v>1860</v>
      </c>
      <c r="C877">
        <v>40273</v>
      </c>
      <c r="D877" s="1" t="s">
        <v>7</v>
      </c>
      <c r="E877" s="1" t="s">
        <v>10</v>
      </c>
    </row>
    <row r="878" spans="1:5" x14ac:dyDescent="0.5">
      <c r="A878" s="1" t="s">
        <v>59</v>
      </c>
      <c r="B878">
        <v>1850</v>
      </c>
      <c r="C878">
        <v>11380</v>
      </c>
      <c r="D878" s="1" t="s">
        <v>7</v>
      </c>
      <c r="E878" s="1" t="s">
        <v>10</v>
      </c>
    </row>
    <row r="879" spans="1:5" x14ac:dyDescent="0.5">
      <c r="A879" s="1" t="s">
        <v>60</v>
      </c>
      <c r="B879">
        <v>2010</v>
      </c>
      <c r="C879">
        <v>625741</v>
      </c>
      <c r="D879" s="1" t="s">
        <v>16</v>
      </c>
      <c r="E879" s="1" t="s">
        <v>17</v>
      </c>
    </row>
    <row r="880" spans="1:5" x14ac:dyDescent="0.5">
      <c r="A880" s="1" t="s">
        <v>60</v>
      </c>
      <c r="B880">
        <v>2000</v>
      </c>
      <c r="C880">
        <v>608827</v>
      </c>
      <c r="D880" s="1" t="s">
        <v>16</v>
      </c>
      <c r="E880" s="1" t="s">
        <v>17</v>
      </c>
    </row>
    <row r="881" spans="1:5" x14ac:dyDescent="0.5">
      <c r="A881" s="1" t="s">
        <v>60</v>
      </c>
      <c r="B881">
        <v>1990</v>
      </c>
      <c r="C881">
        <v>562758</v>
      </c>
      <c r="D881" s="1" t="s">
        <v>16</v>
      </c>
      <c r="E881" s="1" t="s">
        <v>17</v>
      </c>
    </row>
    <row r="882" spans="1:5" x14ac:dyDescent="0.5">
      <c r="A882" s="1" t="s">
        <v>60</v>
      </c>
      <c r="B882">
        <v>1980</v>
      </c>
      <c r="C882">
        <v>511456</v>
      </c>
      <c r="D882" s="1" t="s">
        <v>16</v>
      </c>
      <c r="E882" s="1" t="s">
        <v>17</v>
      </c>
    </row>
    <row r="883" spans="1:5" x14ac:dyDescent="0.5">
      <c r="A883" s="1" t="s">
        <v>60</v>
      </c>
      <c r="B883">
        <v>1970</v>
      </c>
      <c r="C883">
        <v>444732</v>
      </c>
      <c r="D883" s="1" t="s">
        <v>16</v>
      </c>
      <c r="E883" s="1" t="s">
        <v>17</v>
      </c>
    </row>
    <row r="884" spans="1:5" x14ac:dyDescent="0.5">
      <c r="A884" s="1" t="s">
        <v>60</v>
      </c>
      <c r="B884">
        <v>1960</v>
      </c>
      <c r="C884">
        <v>389881</v>
      </c>
      <c r="D884" s="1" t="s">
        <v>16</v>
      </c>
      <c r="E884" s="1" t="s">
        <v>17</v>
      </c>
    </row>
    <row r="885" spans="1:5" x14ac:dyDescent="0.5">
      <c r="A885" s="1" t="s">
        <v>60</v>
      </c>
      <c r="B885">
        <v>1950</v>
      </c>
      <c r="C885">
        <v>377747</v>
      </c>
      <c r="D885" s="1" t="s">
        <v>16</v>
      </c>
      <c r="E885" s="1" t="s">
        <v>17</v>
      </c>
    </row>
    <row r="886" spans="1:5" x14ac:dyDescent="0.5">
      <c r="A886" s="1" t="s">
        <v>60</v>
      </c>
      <c r="B886">
        <v>1940</v>
      </c>
      <c r="C886">
        <v>359231</v>
      </c>
      <c r="D886" s="1" t="s">
        <v>16</v>
      </c>
      <c r="E886" s="1" t="s">
        <v>17</v>
      </c>
    </row>
    <row r="887" spans="1:5" x14ac:dyDescent="0.5">
      <c r="A887" s="1" t="s">
        <v>60</v>
      </c>
      <c r="B887">
        <v>1930</v>
      </c>
      <c r="C887">
        <v>359611</v>
      </c>
      <c r="D887" s="1" t="s">
        <v>16</v>
      </c>
      <c r="E887" s="1" t="s">
        <v>17</v>
      </c>
    </row>
    <row r="888" spans="1:5" x14ac:dyDescent="0.5">
      <c r="A888" s="1" t="s">
        <v>60</v>
      </c>
      <c r="B888">
        <v>1920</v>
      </c>
      <c r="C888">
        <v>352428</v>
      </c>
      <c r="D888" s="1" t="s">
        <v>16</v>
      </c>
      <c r="E888" s="1" t="s">
        <v>17</v>
      </c>
    </row>
    <row r="889" spans="1:5" x14ac:dyDescent="0.5">
      <c r="A889" s="1" t="s">
        <v>60</v>
      </c>
      <c r="B889">
        <v>1910</v>
      </c>
      <c r="C889">
        <v>355956</v>
      </c>
      <c r="D889" s="1" t="s">
        <v>16</v>
      </c>
      <c r="E889" s="1" t="s">
        <v>17</v>
      </c>
    </row>
    <row r="890" spans="1:5" x14ac:dyDescent="0.5">
      <c r="A890" s="1" t="s">
        <v>60</v>
      </c>
      <c r="B890">
        <v>1900</v>
      </c>
      <c r="C890">
        <v>343641</v>
      </c>
      <c r="D890" s="1" t="s">
        <v>16</v>
      </c>
      <c r="E890" s="1" t="s">
        <v>17</v>
      </c>
    </row>
    <row r="891" spans="1:5" x14ac:dyDescent="0.5">
      <c r="A891" s="1" t="s">
        <v>60</v>
      </c>
      <c r="B891">
        <v>1890</v>
      </c>
      <c r="C891">
        <v>332422</v>
      </c>
      <c r="D891" s="1" t="s">
        <v>16</v>
      </c>
      <c r="E891" s="1" t="s">
        <v>17</v>
      </c>
    </row>
    <row r="892" spans="1:5" x14ac:dyDescent="0.5">
      <c r="A892" s="1" t="s">
        <v>60</v>
      </c>
      <c r="B892">
        <v>1880</v>
      </c>
      <c r="C892">
        <v>332286</v>
      </c>
      <c r="D892" s="1" t="s">
        <v>16</v>
      </c>
      <c r="E892" s="1" t="s">
        <v>17</v>
      </c>
    </row>
    <row r="893" spans="1:5" x14ac:dyDescent="0.5">
      <c r="A893" s="1" t="s">
        <v>60</v>
      </c>
      <c r="B893">
        <v>1870</v>
      </c>
      <c r="C893">
        <v>330551</v>
      </c>
      <c r="D893" s="1" t="s">
        <v>16</v>
      </c>
      <c r="E893" s="1" t="s">
        <v>17</v>
      </c>
    </row>
    <row r="894" spans="1:5" x14ac:dyDescent="0.5">
      <c r="A894" s="1" t="s">
        <v>60</v>
      </c>
      <c r="B894">
        <v>1860</v>
      </c>
      <c r="C894">
        <v>315098</v>
      </c>
      <c r="D894" s="1" t="s">
        <v>16</v>
      </c>
      <c r="E894" s="1" t="s">
        <v>17</v>
      </c>
    </row>
    <row r="895" spans="1:5" x14ac:dyDescent="0.5">
      <c r="A895" s="1" t="s">
        <v>60</v>
      </c>
      <c r="B895">
        <v>1850</v>
      </c>
      <c r="C895">
        <v>314120</v>
      </c>
      <c r="D895" s="1" t="s">
        <v>16</v>
      </c>
      <c r="E895" s="1" t="s">
        <v>17</v>
      </c>
    </row>
    <row r="896" spans="1:5" x14ac:dyDescent="0.5">
      <c r="A896" s="1" t="s">
        <v>60</v>
      </c>
      <c r="B896">
        <v>1840</v>
      </c>
      <c r="C896">
        <v>291948</v>
      </c>
      <c r="D896" s="1" t="s">
        <v>16</v>
      </c>
      <c r="E896" s="1" t="s">
        <v>17</v>
      </c>
    </row>
    <row r="897" spans="1:5" x14ac:dyDescent="0.5">
      <c r="A897" s="1" t="s">
        <v>60</v>
      </c>
      <c r="B897">
        <v>1830</v>
      </c>
      <c r="C897">
        <v>280652</v>
      </c>
      <c r="D897" s="1" t="s">
        <v>16</v>
      </c>
      <c r="E897" s="1" t="s">
        <v>17</v>
      </c>
    </row>
    <row r="898" spans="1:5" x14ac:dyDescent="0.5">
      <c r="A898" s="1" t="s">
        <v>60</v>
      </c>
      <c r="B898">
        <v>1820</v>
      </c>
      <c r="C898">
        <v>235981</v>
      </c>
      <c r="D898" s="1" t="s">
        <v>16</v>
      </c>
      <c r="E898" s="1" t="s">
        <v>17</v>
      </c>
    </row>
    <row r="899" spans="1:5" x14ac:dyDescent="0.5">
      <c r="A899" s="1" t="s">
        <v>60</v>
      </c>
      <c r="B899">
        <v>1810</v>
      </c>
      <c r="C899">
        <v>217895</v>
      </c>
      <c r="D899" s="1" t="s">
        <v>16</v>
      </c>
      <c r="E899" s="1" t="s">
        <v>17</v>
      </c>
    </row>
    <row r="900" spans="1:5" x14ac:dyDescent="0.5">
      <c r="A900" s="1" t="s">
        <v>60</v>
      </c>
      <c r="B900">
        <v>1800</v>
      </c>
      <c r="C900">
        <v>154465</v>
      </c>
      <c r="D900" s="1" t="s">
        <v>16</v>
      </c>
      <c r="E900" s="1" t="s">
        <v>17</v>
      </c>
    </row>
    <row r="901" spans="1:5" x14ac:dyDescent="0.5">
      <c r="A901" s="1" t="s">
        <v>60</v>
      </c>
      <c r="B901">
        <v>1790</v>
      </c>
      <c r="C901">
        <v>85425</v>
      </c>
      <c r="D901" s="1" t="s">
        <v>16</v>
      </c>
      <c r="E901" s="1" t="s">
        <v>17</v>
      </c>
    </row>
    <row r="902" spans="1:5" x14ac:dyDescent="0.5">
      <c r="A902" s="1" t="s">
        <v>61</v>
      </c>
      <c r="B902">
        <v>2010</v>
      </c>
      <c r="C902">
        <v>8001024</v>
      </c>
      <c r="D902" s="1" t="s">
        <v>4</v>
      </c>
      <c r="E902" s="1" t="s">
        <v>19</v>
      </c>
    </row>
    <row r="903" spans="1:5" x14ac:dyDescent="0.5">
      <c r="A903" s="1" t="s">
        <v>61</v>
      </c>
      <c r="B903">
        <v>2000</v>
      </c>
      <c r="C903">
        <v>7078515</v>
      </c>
      <c r="D903" s="1" t="s">
        <v>4</v>
      </c>
      <c r="E903" s="1" t="s">
        <v>19</v>
      </c>
    </row>
    <row r="904" spans="1:5" x14ac:dyDescent="0.5">
      <c r="A904" s="1" t="s">
        <v>61</v>
      </c>
      <c r="B904">
        <v>1990</v>
      </c>
      <c r="C904">
        <v>6187358</v>
      </c>
      <c r="D904" s="1" t="s">
        <v>4</v>
      </c>
      <c r="E904" s="1" t="s">
        <v>19</v>
      </c>
    </row>
    <row r="905" spans="1:5" x14ac:dyDescent="0.5">
      <c r="A905" s="1" t="s">
        <v>61</v>
      </c>
      <c r="B905">
        <v>1980</v>
      </c>
      <c r="C905">
        <v>5346797</v>
      </c>
      <c r="D905" s="1" t="s">
        <v>4</v>
      </c>
      <c r="E905" s="1" t="s">
        <v>19</v>
      </c>
    </row>
    <row r="906" spans="1:5" x14ac:dyDescent="0.5">
      <c r="A906" s="1" t="s">
        <v>61</v>
      </c>
      <c r="B906">
        <v>1970</v>
      </c>
      <c r="C906">
        <v>4651448</v>
      </c>
      <c r="D906" s="1" t="s">
        <v>4</v>
      </c>
      <c r="E906" s="1" t="s">
        <v>19</v>
      </c>
    </row>
    <row r="907" spans="1:5" x14ac:dyDescent="0.5">
      <c r="A907" s="1" t="s">
        <v>61</v>
      </c>
      <c r="B907">
        <v>1960</v>
      </c>
      <c r="C907">
        <v>3966949</v>
      </c>
      <c r="D907" s="1" t="s">
        <v>4</v>
      </c>
      <c r="E907" s="1" t="s">
        <v>19</v>
      </c>
    </row>
    <row r="908" spans="1:5" x14ac:dyDescent="0.5">
      <c r="A908" s="1" t="s">
        <v>61</v>
      </c>
      <c r="B908">
        <v>1950</v>
      </c>
      <c r="C908">
        <v>3318680</v>
      </c>
      <c r="D908" s="1" t="s">
        <v>4</v>
      </c>
      <c r="E908" s="1" t="s">
        <v>19</v>
      </c>
    </row>
    <row r="909" spans="1:5" x14ac:dyDescent="0.5">
      <c r="A909" s="1" t="s">
        <v>61</v>
      </c>
      <c r="B909">
        <v>1940</v>
      </c>
      <c r="C909">
        <v>2677773</v>
      </c>
      <c r="D909" s="1" t="s">
        <v>4</v>
      </c>
      <c r="E909" s="1" t="s">
        <v>19</v>
      </c>
    </row>
    <row r="910" spans="1:5" x14ac:dyDescent="0.5">
      <c r="A910" s="1" t="s">
        <v>61</v>
      </c>
      <c r="B910">
        <v>1930</v>
      </c>
      <c r="C910">
        <v>2421851</v>
      </c>
      <c r="D910" s="1" t="s">
        <v>4</v>
      </c>
      <c r="E910" s="1" t="s">
        <v>19</v>
      </c>
    </row>
    <row r="911" spans="1:5" x14ac:dyDescent="0.5">
      <c r="A911" s="1" t="s">
        <v>61</v>
      </c>
      <c r="B911">
        <v>1920</v>
      </c>
      <c r="C911">
        <v>2309187</v>
      </c>
      <c r="D911" s="1" t="s">
        <v>4</v>
      </c>
      <c r="E911" s="1" t="s">
        <v>19</v>
      </c>
    </row>
    <row r="912" spans="1:5" x14ac:dyDescent="0.5">
      <c r="A912" s="1" t="s">
        <v>61</v>
      </c>
      <c r="B912">
        <v>1910</v>
      </c>
      <c r="C912">
        <v>2061612</v>
      </c>
      <c r="D912" s="1" t="s">
        <v>4</v>
      </c>
      <c r="E912" s="1" t="s">
        <v>19</v>
      </c>
    </row>
    <row r="913" spans="1:5" x14ac:dyDescent="0.5">
      <c r="A913" s="1" t="s">
        <v>61</v>
      </c>
      <c r="B913">
        <v>1900</v>
      </c>
      <c r="C913">
        <v>1854184</v>
      </c>
      <c r="D913" s="1" t="s">
        <v>4</v>
      </c>
      <c r="E913" s="1" t="s">
        <v>19</v>
      </c>
    </row>
    <row r="914" spans="1:5" x14ac:dyDescent="0.5">
      <c r="A914" s="1" t="s">
        <v>61</v>
      </c>
      <c r="B914">
        <v>1890</v>
      </c>
      <c r="C914">
        <v>1655980</v>
      </c>
      <c r="D914" s="1" t="s">
        <v>4</v>
      </c>
      <c r="E914" s="1" t="s">
        <v>19</v>
      </c>
    </row>
    <row r="915" spans="1:5" x14ac:dyDescent="0.5">
      <c r="A915" s="1" t="s">
        <v>61</v>
      </c>
      <c r="B915">
        <v>1880</v>
      </c>
      <c r="C915">
        <v>1512565</v>
      </c>
      <c r="D915" s="1" t="s">
        <v>4</v>
      </c>
      <c r="E915" s="1" t="s">
        <v>19</v>
      </c>
    </row>
    <row r="916" spans="1:5" x14ac:dyDescent="0.5">
      <c r="A916" s="1" t="s">
        <v>61</v>
      </c>
      <c r="B916">
        <v>1870</v>
      </c>
      <c r="C916">
        <v>1225163</v>
      </c>
      <c r="D916" s="1" t="s">
        <v>4</v>
      </c>
      <c r="E916" s="1" t="s">
        <v>19</v>
      </c>
    </row>
    <row r="917" spans="1:5" x14ac:dyDescent="0.5">
      <c r="A917" s="1" t="s">
        <v>61</v>
      </c>
      <c r="B917">
        <v>1860</v>
      </c>
      <c r="C917">
        <v>1219630</v>
      </c>
      <c r="D917" s="1" t="s">
        <v>4</v>
      </c>
      <c r="E917" s="1" t="s">
        <v>19</v>
      </c>
    </row>
    <row r="918" spans="1:5" x14ac:dyDescent="0.5">
      <c r="A918" s="1" t="s">
        <v>61</v>
      </c>
      <c r="B918">
        <v>1850</v>
      </c>
      <c r="C918">
        <v>1119349</v>
      </c>
      <c r="D918" s="1" t="s">
        <v>4</v>
      </c>
      <c r="E918" s="1" t="s">
        <v>19</v>
      </c>
    </row>
    <row r="919" spans="1:5" x14ac:dyDescent="0.5">
      <c r="A919" s="1" t="s">
        <v>61</v>
      </c>
      <c r="B919">
        <v>1840</v>
      </c>
      <c r="C919">
        <v>1025227</v>
      </c>
      <c r="D919" s="1" t="s">
        <v>4</v>
      </c>
      <c r="E919" s="1" t="s">
        <v>19</v>
      </c>
    </row>
    <row r="920" spans="1:5" x14ac:dyDescent="0.5">
      <c r="A920" s="1" t="s">
        <v>61</v>
      </c>
      <c r="B920">
        <v>1830</v>
      </c>
      <c r="C920">
        <v>1044054</v>
      </c>
      <c r="D920" s="1" t="s">
        <v>4</v>
      </c>
      <c r="E920" s="1" t="s">
        <v>19</v>
      </c>
    </row>
    <row r="921" spans="1:5" x14ac:dyDescent="0.5">
      <c r="A921" s="1" t="s">
        <v>61</v>
      </c>
      <c r="B921">
        <v>1820</v>
      </c>
      <c r="C921">
        <v>938261</v>
      </c>
      <c r="D921" s="1" t="s">
        <v>4</v>
      </c>
      <c r="E921" s="1" t="s">
        <v>19</v>
      </c>
    </row>
    <row r="922" spans="1:5" x14ac:dyDescent="0.5">
      <c r="A922" s="1" t="s">
        <v>61</v>
      </c>
      <c r="B922">
        <v>1810</v>
      </c>
      <c r="C922">
        <v>877683</v>
      </c>
      <c r="D922" s="1" t="s">
        <v>4</v>
      </c>
      <c r="E922" s="1" t="s">
        <v>19</v>
      </c>
    </row>
    <row r="923" spans="1:5" x14ac:dyDescent="0.5">
      <c r="A923" s="1" t="s">
        <v>61</v>
      </c>
      <c r="B923">
        <v>1800</v>
      </c>
      <c r="C923">
        <v>807557</v>
      </c>
      <c r="D923" s="1" t="s">
        <v>4</v>
      </c>
      <c r="E923" s="1" t="s">
        <v>19</v>
      </c>
    </row>
    <row r="924" spans="1:5" x14ac:dyDescent="0.5">
      <c r="A924" s="1" t="s">
        <v>61</v>
      </c>
      <c r="B924">
        <v>1790</v>
      </c>
      <c r="C924">
        <v>691737</v>
      </c>
      <c r="D924" s="1" t="s">
        <v>4</v>
      </c>
      <c r="E924" s="1" t="s">
        <v>19</v>
      </c>
    </row>
    <row r="925" spans="1:5" x14ac:dyDescent="0.5">
      <c r="A925" s="1" t="s">
        <v>62</v>
      </c>
      <c r="B925">
        <v>2010</v>
      </c>
      <c r="C925">
        <v>6724540</v>
      </c>
      <c r="D925" s="1" t="s">
        <v>7</v>
      </c>
      <c r="E925" s="1" t="s">
        <v>8</v>
      </c>
    </row>
    <row r="926" spans="1:5" x14ac:dyDescent="0.5">
      <c r="A926" s="1" t="s">
        <v>62</v>
      </c>
      <c r="B926">
        <v>2000</v>
      </c>
      <c r="C926">
        <v>5894121</v>
      </c>
      <c r="D926" s="1" t="s">
        <v>7</v>
      </c>
      <c r="E926" s="1" t="s">
        <v>8</v>
      </c>
    </row>
    <row r="927" spans="1:5" x14ac:dyDescent="0.5">
      <c r="A927" s="1" t="s">
        <v>62</v>
      </c>
      <c r="B927">
        <v>1990</v>
      </c>
      <c r="C927">
        <v>4866692</v>
      </c>
      <c r="D927" s="1" t="s">
        <v>7</v>
      </c>
      <c r="E927" s="1" t="s">
        <v>8</v>
      </c>
    </row>
    <row r="928" spans="1:5" x14ac:dyDescent="0.5">
      <c r="A928" s="1" t="s">
        <v>62</v>
      </c>
      <c r="B928">
        <v>1980</v>
      </c>
      <c r="C928">
        <v>4132353</v>
      </c>
      <c r="D928" s="1" t="s">
        <v>7</v>
      </c>
      <c r="E928" s="1" t="s">
        <v>8</v>
      </c>
    </row>
    <row r="929" spans="1:5" x14ac:dyDescent="0.5">
      <c r="A929" s="1" t="s">
        <v>62</v>
      </c>
      <c r="B929">
        <v>1970</v>
      </c>
      <c r="C929">
        <v>3413244</v>
      </c>
      <c r="D929" s="1" t="s">
        <v>7</v>
      </c>
      <c r="E929" s="1" t="s">
        <v>8</v>
      </c>
    </row>
    <row r="930" spans="1:5" x14ac:dyDescent="0.5">
      <c r="A930" s="1" t="s">
        <v>62</v>
      </c>
      <c r="B930">
        <v>1960</v>
      </c>
      <c r="C930">
        <v>2853214</v>
      </c>
      <c r="D930" s="1" t="s">
        <v>7</v>
      </c>
      <c r="E930" s="1" t="s">
        <v>8</v>
      </c>
    </row>
    <row r="931" spans="1:5" x14ac:dyDescent="0.5">
      <c r="A931" s="1" t="s">
        <v>62</v>
      </c>
      <c r="B931">
        <v>1950</v>
      </c>
      <c r="C931">
        <v>2378963</v>
      </c>
      <c r="D931" s="1" t="s">
        <v>7</v>
      </c>
      <c r="E931" s="1" t="s">
        <v>8</v>
      </c>
    </row>
    <row r="932" spans="1:5" x14ac:dyDescent="0.5">
      <c r="A932" s="1" t="s">
        <v>62</v>
      </c>
      <c r="B932">
        <v>1940</v>
      </c>
      <c r="C932">
        <v>1736191</v>
      </c>
      <c r="D932" s="1" t="s">
        <v>7</v>
      </c>
      <c r="E932" s="1" t="s">
        <v>8</v>
      </c>
    </row>
    <row r="933" spans="1:5" x14ac:dyDescent="0.5">
      <c r="A933" s="1" t="s">
        <v>62</v>
      </c>
      <c r="B933">
        <v>1930</v>
      </c>
      <c r="C933">
        <v>1563396</v>
      </c>
      <c r="D933" s="1" t="s">
        <v>7</v>
      </c>
      <c r="E933" s="1" t="s">
        <v>8</v>
      </c>
    </row>
    <row r="934" spans="1:5" x14ac:dyDescent="0.5">
      <c r="A934" s="1" t="s">
        <v>62</v>
      </c>
      <c r="B934">
        <v>1920</v>
      </c>
      <c r="C934">
        <v>1356621</v>
      </c>
      <c r="D934" s="1" t="s">
        <v>7</v>
      </c>
      <c r="E934" s="1" t="s">
        <v>8</v>
      </c>
    </row>
    <row r="935" spans="1:5" x14ac:dyDescent="0.5">
      <c r="A935" s="1" t="s">
        <v>62</v>
      </c>
      <c r="B935">
        <v>1910</v>
      </c>
      <c r="C935">
        <v>1141990</v>
      </c>
      <c r="D935" s="1" t="s">
        <v>7</v>
      </c>
      <c r="E935" s="1" t="s">
        <v>8</v>
      </c>
    </row>
    <row r="936" spans="1:5" x14ac:dyDescent="0.5">
      <c r="A936" s="1" t="s">
        <v>62</v>
      </c>
      <c r="B936">
        <v>1900</v>
      </c>
      <c r="C936">
        <v>518103</v>
      </c>
      <c r="D936" s="1" t="s">
        <v>7</v>
      </c>
      <c r="E936" s="1" t="s">
        <v>8</v>
      </c>
    </row>
    <row r="937" spans="1:5" x14ac:dyDescent="0.5">
      <c r="A937" s="1" t="s">
        <v>62</v>
      </c>
      <c r="B937">
        <v>1890</v>
      </c>
      <c r="C937">
        <v>357232</v>
      </c>
      <c r="D937" s="1" t="s">
        <v>7</v>
      </c>
      <c r="E937" s="1" t="s">
        <v>8</v>
      </c>
    </row>
    <row r="938" spans="1:5" x14ac:dyDescent="0.5">
      <c r="A938" s="1" t="s">
        <v>62</v>
      </c>
      <c r="B938">
        <v>1880</v>
      </c>
      <c r="C938">
        <v>75116</v>
      </c>
      <c r="D938" s="1" t="s">
        <v>7</v>
      </c>
      <c r="E938" s="1" t="s">
        <v>8</v>
      </c>
    </row>
    <row r="939" spans="1:5" x14ac:dyDescent="0.5">
      <c r="A939" s="1" t="s">
        <v>62</v>
      </c>
      <c r="B939">
        <v>1870</v>
      </c>
      <c r="C939">
        <v>23955</v>
      </c>
      <c r="D939" s="1" t="s">
        <v>7</v>
      </c>
      <c r="E939" s="1" t="s">
        <v>8</v>
      </c>
    </row>
    <row r="940" spans="1:5" x14ac:dyDescent="0.5">
      <c r="A940" s="1" t="s">
        <v>62</v>
      </c>
      <c r="B940">
        <v>1860</v>
      </c>
      <c r="C940">
        <v>11594</v>
      </c>
      <c r="D940" s="1" t="s">
        <v>7</v>
      </c>
      <c r="E940" s="1" t="s">
        <v>8</v>
      </c>
    </row>
    <row r="941" spans="1:5" x14ac:dyDescent="0.5">
      <c r="A941" s="1" t="s">
        <v>62</v>
      </c>
      <c r="B941">
        <v>1850</v>
      </c>
      <c r="C941">
        <v>1201</v>
      </c>
      <c r="D941" s="1" t="s">
        <v>7</v>
      </c>
      <c r="E941" s="1" t="s">
        <v>8</v>
      </c>
    </row>
    <row r="942" spans="1:5" x14ac:dyDescent="0.5">
      <c r="A942" s="1" t="s">
        <v>63</v>
      </c>
      <c r="B942">
        <v>2010</v>
      </c>
      <c r="C942">
        <v>1852994</v>
      </c>
      <c r="D942" s="1" t="s">
        <v>4</v>
      </c>
      <c r="E942" s="1" t="s">
        <v>19</v>
      </c>
    </row>
    <row r="943" spans="1:5" x14ac:dyDescent="0.5">
      <c r="A943" s="1" t="s">
        <v>63</v>
      </c>
      <c r="B943">
        <v>2000</v>
      </c>
      <c r="C943">
        <v>1808344</v>
      </c>
      <c r="D943" s="1" t="s">
        <v>4</v>
      </c>
      <c r="E943" s="1" t="s">
        <v>19</v>
      </c>
    </row>
    <row r="944" spans="1:5" x14ac:dyDescent="0.5">
      <c r="A944" s="1" t="s">
        <v>63</v>
      </c>
      <c r="B944">
        <v>1990</v>
      </c>
      <c r="C944">
        <v>1793477</v>
      </c>
      <c r="D944" s="1" t="s">
        <v>4</v>
      </c>
      <c r="E944" s="1" t="s">
        <v>19</v>
      </c>
    </row>
    <row r="945" spans="1:5" x14ac:dyDescent="0.5">
      <c r="A945" s="1" t="s">
        <v>63</v>
      </c>
      <c r="B945">
        <v>1980</v>
      </c>
      <c r="C945">
        <v>1950186</v>
      </c>
      <c r="D945" s="1" t="s">
        <v>4</v>
      </c>
      <c r="E945" s="1" t="s">
        <v>19</v>
      </c>
    </row>
    <row r="946" spans="1:5" x14ac:dyDescent="0.5">
      <c r="A946" s="1" t="s">
        <v>63</v>
      </c>
      <c r="B946">
        <v>1970</v>
      </c>
      <c r="C946">
        <v>1744237</v>
      </c>
      <c r="D946" s="1" t="s">
        <v>4</v>
      </c>
      <c r="E946" s="1" t="s">
        <v>19</v>
      </c>
    </row>
    <row r="947" spans="1:5" x14ac:dyDescent="0.5">
      <c r="A947" s="1" t="s">
        <v>63</v>
      </c>
      <c r="B947">
        <v>1960</v>
      </c>
      <c r="C947">
        <v>1860421</v>
      </c>
      <c r="D947" s="1" t="s">
        <v>4</v>
      </c>
      <c r="E947" s="1" t="s">
        <v>19</v>
      </c>
    </row>
    <row r="948" spans="1:5" x14ac:dyDescent="0.5">
      <c r="A948" s="1" t="s">
        <v>63</v>
      </c>
      <c r="B948">
        <v>1950</v>
      </c>
      <c r="C948">
        <v>2005552</v>
      </c>
      <c r="D948" s="1" t="s">
        <v>4</v>
      </c>
      <c r="E948" s="1" t="s">
        <v>19</v>
      </c>
    </row>
    <row r="949" spans="1:5" x14ac:dyDescent="0.5">
      <c r="A949" s="1" t="s">
        <v>63</v>
      </c>
      <c r="B949">
        <v>1940</v>
      </c>
      <c r="C949">
        <v>1901974</v>
      </c>
      <c r="D949" s="1" t="s">
        <v>4</v>
      </c>
      <c r="E949" s="1" t="s">
        <v>19</v>
      </c>
    </row>
    <row r="950" spans="1:5" x14ac:dyDescent="0.5">
      <c r="A950" s="1" t="s">
        <v>63</v>
      </c>
      <c r="B950">
        <v>1930</v>
      </c>
      <c r="C950">
        <v>1729205</v>
      </c>
      <c r="D950" s="1" t="s">
        <v>4</v>
      </c>
      <c r="E950" s="1" t="s">
        <v>19</v>
      </c>
    </row>
    <row r="951" spans="1:5" x14ac:dyDescent="0.5">
      <c r="A951" s="1" t="s">
        <v>63</v>
      </c>
      <c r="B951">
        <v>1920</v>
      </c>
      <c r="C951">
        <v>1463701</v>
      </c>
      <c r="D951" s="1" t="s">
        <v>4</v>
      </c>
      <c r="E951" s="1" t="s">
        <v>19</v>
      </c>
    </row>
    <row r="952" spans="1:5" x14ac:dyDescent="0.5">
      <c r="A952" s="1" t="s">
        <v>63</v>
      </c>
      <c r="B952">
        <v>1910</v>
      </c>
      <c r="C952">
        <v>1221119</v>
      </c>
      <c r="D952" s="1" t="s">
        <v>4</v>
      </c>
      <c r="E952" s="1" t="s">
        <v>19</v>
      </c>
    </row>
    <row r="953" spans="1:5" x14ac:dyDescent="0.5">
      <c r="A953" s="1" t="s">
        <v>63</v>
      </c>
      <c r="B953">
        <v>1900</v>
      </c>
      <c r="C953">
        <v>958800</v>
      </c>
      <c r="D953" s="1" t="s">
        <v>4</v>
      </c>
      <c r="E953" s="1" t="s">
        <v>19</v>
      </c>
    </row>
    <row r="954" spans="1:5" x14ac:dyDescent="0.5">
      <c r="A954" s="1" t="s">
        <v>63</v>
      </c>
      <c r="B954">
        <v>1890</v>
      </c>
      <c r="C954">
        <v>762794</v>
      </c>
      <c r="D954" s="1" t="s">
        <v>4</v>
      </c>
      <c r="E954" s="1" t="s">
        <v>19</v>
      </c>
    </row>
    <row r="955" spans="1:5" x14ac:dyDescent="0.5">
      <c r="A955" s="1" t="s">
        <v>63</v>
      </c>
      <c r="B955">
        <v>1880</v>
      </c>
      <c r="C955">
        <v>618457</v>
      </c>
      <c r="D955" s="1" t="s">
        <v>4</v>
      </c>
      <c r="E955" s="1" t="s">
        <v>19</v>
      </c>
    </row>
    <row r="956" spans="1:5" x14ac:dyDescent="0.5">
      <c r="A956" s="1" t="s">
        <v>63</v>
      </c>
      <c r="B956">
        <v>1870</v>
      </c>
      <c r="C956">
        <v>442014</v>
      </c>
      <c r="D956" s="1" t="s">
        <v>4</v>
      </c>
      <c r="E956" s="1" t="s">
        <v>19</v>
      </c>
    </row>
    <row r="957" spans="1:5" x14ac:dyDescent="0.5">
      <c r="A957" s="1" t="s">
        <v>63</v>
      </c>
      <c r="B957">
        <v>1860</v>
      </c>
      <c r="C957">
        <v>376688</v>
      </c>
      <c r="D957" s="1" t="s">
        <v>4</v>
      </c>
      <c r="E957" s="1" t="s">
        <v>19</v>
      </c>
    </row>
    <row r="958" spans="1:5" x14ac:dyDescent="0.5">
      <c r="A958" s="1" t="s">
        <v>63</v>
      </c>
      <c r="B958">
        <v>1850</v>
      </c>
      <c r="C958">
        <v>302313</v>
      </c>
      <c r="D958" s="1" t="s">
        <v>4</v>
      </c>
      <c r="E958" s="1" t="s">
        <v>19</v>
      </c>
    </row>
    <row r="959" spans="1:5" x14ac:dyDescent="0.5">
      <c r="A959" s="1" t="s">
        <v>63</v>
      </c>
      <c r="B959">
        <v>1840</v>
      </c>
      <c r="C959">
        <v>224537</v>
      </c>
      <c r="D959" s="1" t="s">
        <v>4</v>
      </c>
      <c r="E959" s="1" t="s">
        <v>19</v>
      </c>
    </row>
    <row r="960" spans="1:5" x14ac:dyDescent="0.5">
      <c r="A960" s="1" t="s">
        <v>63</v>
      </c>
      <c r="B960">
        <v>1830</v>
      </c>
      <c r="C960">
        <v>176924</v>
      </c>
      <c r="D960" s="1" t="s">
        <v>4</v>
      </c>
      <c r="E960" s="1" t="s">
        <v>19</v>
      </c>
    </row>
    <row r="961" spans="1:5" x14ac:dyDescent="0.5">
      <c r="A961" s="1" t="s">
        <v>63</v>
      </c>
      <c r="B961">
        <v>1820</v>
      </c>
      <c r="C961">
        <v>136808</v>
      </c>
      <c r="D961" s="1" t="s">
        <v>4</v>
      </c>
      <c r="E961" s="1" t="s">
        <v>19</v>
      </c>
    </row>
    <row r="962" spans="1:5" x14ac:dyDescent="0.5">
      <c r="A962" s="1" t="s">
        <v>63</v>
      </c>
      <c r="B962">
        <v>1810</v>
      </c>
      <c r="C962">
        <v>105469</v>
      </c>
      <c r="D962" s="1" t="s">
        <v>4</v>
      </c>
      <c r="E962" s="1" t="s">
        <v>19</v>
      </c>
    </row>
    <row r="963" spans="1:5" x14ac:dyDescent="0.5">
      <c r="A963" s="1" t="s">
        <v>63</v>
      </c>
      <c r="B963">
        <v>1800</v>
      </c>
      <c r="C963">
        <v>78592</v>
      </c>
      <c r="D963" s="1" t="s">
        <v>4</v>
      </c>
      <c r="E963" s="1" t="s">
        <v>19</v>
      </c>
    </row>
    <row r="964" spans="1:5" x14ac:dyDescent="0.5">
      <c r="A964" s="1" t="s">
        <v>63</v>
      </c>
      <c r="B964">
        <v>1790</v>
      </c>
      <c r="C964">
        <v>55873</v>
      </c>
      <c r="D964" s="1" t="s">
        <v>4</v>
      </c>
      <c r="E964" s="1" t="s">
        <v>19</v>
      </c>
    </row>
    <row r="965" spans="1:5" x14ac:dyDescent="0.5">
      <c r="A965" s="1" t="s">
        <v>64</v>
      </c>
      <c r="B965">
        <v>2010</v>
      </c>
      <c r="C965">
        <v>5686986</v>
      </c>
      <c r="D965" s="1" t="s">
        <v>25</v>
      </c>
      <c r="E965" s="1" t="s">
        <v>26</v>
      </c>
    </row>
    <row r="966" spans="1:5" x14ac:dyDescent="0.5">
      <c r="A966" s="1" t="s">
        <v>64</v>
      </c>
      <c r="B966">
        <v>2000</v>
      </c>
      <c r="C966">
        <v>5363675</v>
      </c>
      <c r="D966" s="1" t="s">
        <v>25</v>
      </c>
      <c r="E966" s="1" t="s">
        <v>26</v>
      </c>
    </row>
    <row r="967" spans="1:5" x14ac:dyDescent="0.5">
      <c r="A967" s="1" t="s">
        <v>64</v>
      </c>
      <c r="B967">
        <v>1990</v>
      </c>
      <c r="C967">
        <v>4891769</v>
      </c>
      <c r="D967" s="1" t="s">
        <v>25</v>
      </c>
      <c r="E967" s="1" t="s">
        <v>26</v>
      </c>
    </row>
    <row r="968" spans="1:5" x14ac:dyDescent="0.5">
      <c r="A968" s="1" t="s">
        <v>64</v>
      </c>
      <c r="B968">
        <v>1980</v>
      </c>
      <c r="C968">
        <v>4705642</v>
      </c>
      <c r="D968" s="1" t="s">
        <v>25</v>
      </c>
      <c r="E968" s="1" t="s">
        <v>26</v>
      </c>
    </row>
    <row r="969" spans="1:5" x14ac:dyDescent="0.5">
      <c r="A969" s="1" t="s">
        <v>64</v>
      </c>
      <c r="B969">
        <v>1970</v>
      </c>
      <c r="C969">
        <v>4417821</v>
      </c>
      <c r="D969" s="1" t="s">
        <v>25</v>
      </c>
      <c r="E969" s="1" t="s">
        <v>26</v>
      </c>
    </row>
    <row r="970" spans="1:5" x14ac:dyDescent="0.5">
      <c r="A970" s="1" t="s">
        <v>64</v>
      </c>
      <c r="B970">
        <v>1960</v>
      </c>
      <c r="C970">
        <v>3951777</v>
      </c>
      <c r="D970" s="1" t="s">
        <v>25</v>
      </c>
      <c r="E970" s="1" t="s">
        <v>26</v>
      </c>
    </row>
    <row r="971" spans="1:5" x14ac:dyDescent="0.5">
      <c r="A971" s="1" t="s">
        <v>64</v>
      </c>
      <c r="B971">
        <v>1950</v>
      </c>
      <c r="C971">
        <v>3434575</v>
      </c>
      <c r="D971" s="1" t="s">
        <v>25</v>
      </c>
      <c r="E971" s="1" t="s">
        <v>26</v>
      </c>
    </row>
    <row r="972" spans="1:5" x14ac:dyDescent="0.5">
      <c r="A972" s="1" t="s">
        <v>64</v>
      </c>
      <c r="B972">
        <v>1940</v>
      </c>
      <c r="C972">
        <v>3137587</v>
      </c>
      <c r="D972" s="1" t="s">
        <v>25</v>
      </c>
      <c r="E972" s="1" t="s">
        <v>26</v>
      </c>
    </row>
    <row r="973" spans="1:5" x14ac:dyDescent="0.5">
      <c r="A973" s="1" t="s">
        <v>64</v>
      </c>
      <c r="B973">
        <v>1930</v>
      </c>
      <c r="C973">
        <v>2939006</v>
      </c>
      <c r="D973" s="1" t="s">
        <v>25</v>
      </c>
      <c r="E973" s="1" t="s">
        <v>26</v>
      </c>
    </row>
    <row r="974" spans="1:5" x14ac:dyDescent="0.5">
      <c r="A974" s="1" t="s">
        <v>64</v>
      </c>
      <c r="B974">
        <v>1920</v>
      </c>
      <c r="C974">
        <v>2632067</v>
      </c>
      <c r="D974" s="1" t="s">
        <v>25</v>
      </c>
      <c r="E974" s="1" t="s">
        <v>26</v>
      </c>
    </row>
    <row r="975" spans="1:5" x14ac:dyDescent="0.5">
      <c r="A975" s="1" t="s">
        <v>64</v>
      </c>
      <c r="B975">
        <v>1910</v>
      </c>
      <c r="C975">
        <v>2333860</v>
      </c>
      <c r="D975" s="1" t="s">
        <v>25</v>
      </c>
      <c r="E975" s="1" t="s">
        <v>26</v>
      </c>
    </row>
    <row r="976" spans="1:5" x14ac:dyDescent="0.5">
      <c r="A976" s="1" t="s">
        <v>64</v>
      </c>
      <c r="B976">
        <v>1900</v>
      </c>
      <c r="C976">
        <v>2069042</v>
      </c>
      <c r="D976" s="1" t="s">
        <v>25</v>
      </c>
      <c r="E976" s="1" t="s">
        <v>26</v>
      </c>
    </row>
    <row r="977" spans="1:5" x14ac:dyDescent="0.5">
      <c r="A977" s="1" t="s">
        <v>64</v>
      </c>
      <c r="B977">
        <v>1890</v>
      </c>
      <c r="C977">
        <v>1693330</v>
      </c>
      <c r="D977" s="1" t="s">
        <v>25</v>
      </c>
      <c r="E977" s="1" t="s">
        <v>26</v>
      </c>
    </row>
    <row r="978" spans="1:5" x14ac:dyDescent="0.5">
      <c r="A978" s="1" t="s">
        <v>64</v>
      </c>
      <c r="B978">
        <v>1880</v>
      </c>
      <c r="C978">
        <v>1315497</v>
      </c>
      <c r="D978" s="1" t="s">
        <v>25</v>
      </c>
      <c r="E978" s="1" t="s">
        <v>26</v>
      </c>
    </row>
    <row r="979" spans="1:5" x14ac:dyDescent="0.5">
      <c r="A979" s="1" t="s">
        <v>64</v>
      </c>
      <c r="B979">
        <v>1870</v>
      </c>
      <c r="C979">
        <v>1054670</v>
      </c>
      <c r="D979" s="1" t="s">
        <v>25</v>
      </c>
      <c r="E979" s="1" t="s">
        <v>26</v>
      </c>
    </row>
    <row r="980" spans="1:5" x14ac:dyDescent="0.5">
      <c r="A980" s="1" t="s">
        <v>64</v>
      </c>
      <c r="B980">
        <v>1860</v>
      </c>
      <c r="C980">
        <v>775881</v>
      </c>
      <c r="D980" s="1" t="s">
        <v>25</v>
      </c>
      <c r="E980" s="1" t="s">
        <v>26</v>
      </c>
    </row>
    <row r="981" spans="1:5" x14ac:dyDescent="0.5">
      <c r="A981" s="1" t="s">
        <v>64</v>
      </c>
      <c r="B981">
        <v>1850</v>
      </c>
      <c r="C981">
        <v>305391</v>
      </c>
      <c r="D981" s="1" t="s">
        <v>25</v>
      </c>
      <c r="E981" s="1" t="s">
        <v>26</v>
      </c>
    </row>
    <row r="982" spans="1:5" x14ac:dyDescent="0.5">
      <c r="A982" s="1" t="s">
        <v>64</v>
      </c>
      <c r="B982">
        <v>1840</v>
      </c>
      <c r="C982">
        <v>30945</v>
      </c>
      <c r="D982" s="1" t="s">
        <v>25</v>
      </c>
      <c r="E982" s="1" t="s">
        <v>26</v>
      </c>
    </row>
    <row r="983" spans="1:5" x14ac:dyDescent="0.5">
      <c r="A983" s="1" t="s">
        <v>65</v>
      </c>
      <c r="B983">
        <v>2010</v>
      </c>
      <c r="C983">
        <v>563626</v>
      </c>
      <c r="D983" s="1" t="s">
        <v>7</v>
      </c>
      <c r="E983" s="1" t="s">
        <v>10</v>
      </c>
    </row>
    <row r="984" spans="1:5" x14ac:dyDescent="0.5">
      <c r="A984" s="1" t="s">
        <v>65</v>
      </c>
      <c r="B984">
        <v>2000</v>
      </c>
      <c r="C984">
        <v>493782</v>
      </c>
      <c r="D984" s="1" t="s">
        <v>7</v>
      </c>
      <c r="E984" s="1" t="s">
        <v>10</v>
      </c>
    </row>
    <row r="985" spans="1:5" x14ac:dyDescent="0.5">
      <c r="A985" s="1" t="s">
        <v>65</v>
      </c>
      <c r="B985">
        <v>1990</v>
      </c>
      <c r="C985">
        <v>453588</v>
      </c>
      <c r="D985" s="1" t="s">
        <v>7</v>
      </c>
      <c r="E985" s="1" t="s">
        <v>10</v>
      </c>
    </row>
    <row r="986" spans="1:5" x14ac:dyDescent="0.5">
      <c r="A986" s="1" t="s">
        <v>65</v>
      </c>
      <c r="B986">
        <v>1980</v>
      </c>
      <c r="C986">
        <v>469557</v>
      </c>
      <c r="D986" s="1" t="s">
        <v>7</v>
      </c>
      <c r="E986" s="1" t="s">
        <v>10</v>
      </c>
    </row>
    <row r="987" spans="1:5" x14ac:dyDescent="0.5">
      <c r="A987" s="1" t="s">
        <v>65</v>
      </c>
      <c r="B987">
        <v>1970</v>
      </c>
      <c r="C987">
        <v>332416</v>
      </c>
      <c r="D987" s="1" t="s">
        <v>7</v>
      </c>
      <c r="E987" s="1" t="s">
        <v>10</v>
      </c>
    </row>
    <row r="988" spans="1:5" x14ac:dyDescent="0.5">
      <c r="A988" s="1" t="s">
        <v>65</v>
      </c>
      <c r="B988">
        <v>1960</v>
      </c>
      <c r="C988">
        <v>330066</v>
      </c>
      <c r="D988" s="1" t="s">
        <v>7</v>
      </c>
      <c r="E988" s="1" t="s">
        <v>10</v>
      </c>
    </row>
    <row r="989" spans="1:5" x14ac:dyDescent="0.5">
      <c r="A989" s="1" t="s">
        <v>65</v>
      </c>
      <c r="B989">
        <v>1950</v>
      </c>
      <c r="C989">
        <v>290529</v>
      </c>
      <c r="D989" s="1" t="s">
        <v>7</v>
      </c>
      <c r="E989" s="1" t="s">
        <v>10</v>
      </c>
    </row>
    <row r="990" spans="1:5" x14ac:dyDescent="0.5">
      <c r="A990" s="1" t="s">
        <v>65</v>
      </c>
      <c r="B990">
        <v>1940</v>
      </c>
      <c r="C990">
        <v>250742</v>
      </c>
      <c r="D990" s="1" t="s">
        <v>7</v>
      </c>
      <c r="E990" s="1" t="s">
        <v>10</v>
      </c>
    </row>
    <row r="991" spans="1:5" x14ac:dyDescent="0.5">
      <c r="A991" s="1" t="s">
        <v>65</v>
      </c>
      <c r="B991">
        <v>1930</v>
      </c>
      <c r="C991">
        <v>225565</v>
      </c>
      <c r="D991" s="1" t="s">
        <v>7</v>
      </c>
      <c r="E991" s="1" t="s">
        <v>10</v>
      </c>
    </row>
    <row r="992" spans="1:5" x14ac:dyDescent="0.5">
      <c r="A992" s="1" t="s">
        <v>65</v>
      </c>
      <c r="B992">
        <v>1920</v>
      </c>
      <c r="C992">
        <v>194402</v>
      </c>
      <c r="D992" s="1" t="s">
        <v>7</v>
      </c>
      <c r="E992" s="1" t="s">
        <v>10</v>
      </c>
    </row>
    <row r="993" spans="1:5" x14ac:dyDescent="0.5">
      <c r="A993" s="1" t="s">
        <v>65</v>
      </c>
      <c r="B993">
        <v>1910</v>
      </c>
      <c r="C993">
        <v>145965</v>
      </c>
      <c r="D993" s="1" t="s">
        <v>7</v>
      </c>
      <c r="E993" s="1" t="s">
        <v>10</v>
      </c>
    </row>
    <row r="994" spans="1:5" x14ac:dyDescent="0.5">
      <c r="A994" s="1" t="s">
        <v>65</v>
      </c>
      <c r="B994">
        <v>1900</v>
      </c>
      <c r="C994">
        <v>92631</v>
      </c>
      <c r="D994" s="1" t="s">
        <v>7</v>
      </c>
      <c r="E994" s="1" t="s">
        <v>10</v>
      </c>
    </row>
    <row r="995" spans="1:5" x14ac:dyDescent="0.5">
      <c r="A995" s="1" t="s">
        <v>65</v>
      </c>
      <c r="B995">
        <v>1890</v>
      </c>
      <c r="C995">
        <v>62555</v>
      </c>
      <c r="D995" s="1" t="s">
        <v>7</v>
      </c>
      <c r="E995" s="1" t="s">
        <v>10</v>
      </c>
    </row>
    <row r="996" spans="1:5" x14ac:dyDescent="0.5">
      <c r="A996" s="1" t="s">
        <v>65</v>
      </c>
      <c r="B996">
        <v>1880</v>
      </c>
      <c r="C996">
        <v>20789</v>
      </c>
      <c r="D996" s="1" t="s">
        <v>7</v>
      </c>
      <c r="E996" s="1" t="s">
        <v>10</v>
      </c>
    </row>
    <row r="997" spans="1:5" x14ac:dyDescent="0.5">
      <c r="A997" s="1" t="s">
        <v>65</v>
      </c>
      <c r="B997">
        <v>1870</v>
      </c>
      <c r="C997">
        <v>9118</v>
      </c>
      <c r="D997" s="1" t="s">
        <v>7</v>
      </c>
      <c r="E997" s="1" t="s">
        <v>10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C6FC7-B80A-44E1-B221-5595E63ED915}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A6C5C-86DB-49A8-8FE7-46B62CC415A9}">
  <dimension ref="A1:C51"/>
  <sheetViews>
    <sheetView workbookViewId="0"/>
  </sheetViews>
  <sheetFormatPr defaultRowHeight="14.35" x14ac:dyDescent="0.5"/>
  <cols>
    <col min="1" max="1" width="13.41015625" bestFit="1" customWidth="1"/>
    <col min="2" max="2" width="8.64453125" bestFit="1" customWidth="1"/>
    <col min="3" max="3" width="16.05859375" bestFit="1" customWidth="1"/>
  </cols>
  <sheetData>
    <row r="1" spans="1:3" x14ac:dyDescent="0.5">
      <c r="A1" t="s">
        <v>0</v>
      </c>
      <c r="B1" t="s">
        <v>1</v>
      </c>
      <c r="C1" t="s">
        <v>2</v>
      </c>
    </row>
    <row r="2" spans="1:3" x14ac:dyDescent="0.5">
      <c r="A2" s="1" t="s">
        <v>3</v>
      </c>
      <c r="B2" s="1" t="s">
        <v>4</v>
      </c>
      <c r="C2" s="1" t="s">
        <v>5</v>
      </c>
    </row>
    <row r="3" spans="1:3" x14ac:dyDescent="0.5">
      <c r="A3" s="1" t="s">
        <v>6</v>
      </c>
      <c r="B3" s="1" t="s">
        <v>7</v>
      </c>
      <c r="C3" s="1" t="s">
        <v>8</v>
      </c>
    </row>
    <row r="4" spans="1:3" x14ac:dyDescent="0.5">
      <c r="A4" s="1" t="s">
        <v>9</v>
      </c>
      <c r="B4" s="1" t="s">
        <v>7</v>
      </c>
      <c r="C4" s="1" t="s">
        <v>10</v>
      </c>
    </row>
    <row r="5" spans="1:3" x14ac:dyDescent="0.5">
      <c r="A5" s="1" t="s">
        <v>11</v>
      </c>
      <c r="B5" s="1" t="s">
        <v>4</v>
      </c>
      <c r="C5" s="1" t="s">
        <v>12</v>
      </c>
    </row>
    <row r="6" spans="1:3" x14ac:dyDescent="0.5">
      <c r="A6" s="1" t="s">
        <v>13</v>
      </c>
      <c r="B6" s="1" t="s">
        <v>7</v>
      </c>
      <c r="C6" s="1" t="s">
        <v>8</v>
      </c>
    </row>
    <row r="7" spans="1:3" x14ac:dyDescent="0.5">
      <c r="A7" s="1" t="s">
        <v>14</v>
      </c>
      <c r="B7" s="1" t="s">
        <v>7</v>
      </c>
      <c r="C7" s="1" t="s">
        <v>10</v>
      </c>
    </row>
    <row r="8" spans="1:3" x14ac:dyDescent="0.5">
      <c r="A8" s="1" t="s">
        <v>15</v>
      </c>
      <c r="B8" s="1" t="s">
        <v>16</v>
      </c>
      <c r="C8" s="1" t="s">
        <v>17</v>
      </c>
    </row>
    <row r="9" spans="1:3" x14ac:dyDescent="0.5">
      <c r="A9" s="1" t="s">
        <v>18</v>
      </c>
      <c r="B9" s="1" t="s">
        <v>4</v>
      </c>
      <c r="C9" s="1" t="s">
        <v>19</v>
      </c>
    </row>
    <row r="10" spans="1:3" x14ac:dyDescent="0.5">
      <c r="A10" s="1" t="s">
        <v>20</v>
      </c>
      <c r="B10" s="1" t="s">
        <v>4</v>
      </c>
      <c r="C10" s="1" t="s">
        <v>19</v>
      </c>
    </row>
    <row r="11" spans="1:3" x14ac:dyDescent="0.5">
      <c r="A11" s="1" t="s">
        <v>21</v>
      </c>
      <c r="B11" s="1" t="s">
        <v>4</v>
      </c>
      <c r="C11" s="1" t="s">
        <v>19</v>
      </c>
    </row>
    <row r="12" spans="1:3" x14ac:dyDescent="0.5">
      <c r="A12" s="1" t="s">
        <v>22</v>
      </c>
      <c r="B12" s="1" t="s">
        <v>7</v>
      </c>
      <c r="C12" s="1" t="s">
        <v>8</v>
      </c>
    </row>
    <row r="13" spans="1:3" x14ac:dyDescent="0.5">
      <c r="A13" s="1" t="s">
        <v>23</v>
      </c>
      <c r="B13" s="1" t="s">
        <v>7</v>
      </c>
      <c r="C13" s="1" t="s">
        <v>10</v>
      </c>
    </row>
    <row r="14" spans="1:3" x14ac:dyDescent="0.5">
      <c r="A14" s="1" t="s">
        <v>24</v>
      </c>
      <c r="B14" s="1" t="s">
        <v>25</v>
      </c>
      <c r="C14" s="1" t="s">
        <v>26</v>
      </c>
    </row>
    <row r="15" spans="1:3" x14ac:dyDescent="0.5">
      <c r="A15" s="1" t="s">
        <v>27</v>
      </c>
      <c r="B15" s="1" t="s">
        <v>25</v>
      </c>
      <c r="C15" s="1" t="s">
        <v>26</v>
      </c>
    </row>
    <row r="16" spans="1:3" x14ac:dyDescent="0.5">
      <c r="A16" s="1" t="s">
        <v>28</v>
      </c>
      <c r="B16" s="1" t="s">
        <v>25</v>
      </c>
      <c r="C16" s="1" t="s">
        <v>29</v>
      </c>
    </row>
    <row r="17" spans="1:3" x14ac:dyDescent="0.5">
      <c r="A17" s="1" t="s">
        <v>30</v>
      </c>
      <c r="B17" s="1" t="s">
        <v>25</v>
      </c>
      <c r="C17" s="1" t="s">
        <v>29</v>
      </c>
    </row>
    <row r="18" spans="1:3" x14ac:dyDescent="0.5">
      <c r="A18" s="1" t="s">
        <v>31</v>
      </c>
      <c r="B18" s="1" t="s">
        <v>4</v>
      </c>
      <c r="C18" s="1" t="s">
        <v>5</v>
      </c>
    </row>
    <row r="19" spans="1:3" x14ac:dyDescent="0.5">
      <c r="A19" s="1" t="s">
        <v>32</v>
      </c>
      <c r="B19" s="1" t="s">
        <v>4</v>
      </c>
      <c r="C19" s="1" t="s">
        <v>12</v>
      </c>
    </row>
    <row r="20" spans="1:3" x14ac:dyDescent="0.5">
      <c r="A20" s="1" t="s">
        <v>33</v>
      </c>
      <c r="B20" s="1" t="s">
        <v>16</v>
      </c>
      <c r="C20" s="1" t="s">
        <v>17</v>
      </c>
    </row>
    <row r="21" spans="1:3" x14ac:dyDescent="0.5">
      <c r="A21" s="1" t="s">
        <v>34</v>
      </c>
      <c r="B21" s="1" t="s">
        <v>4</v>
      </c>
      <c r="C21" s="1" t="s">
        <v>19</v>
      </c>
    </row>
    <row r="22" spans="1:3" x14ac:dyDescent="0.5">
      <c r="A22" s="1" t="s">
        <v>35</v>
      </c>
      <c r="B22" s="1" t="s">
        <v>16</v>
      </c>
      <c r="C22" s="1" t="s">
        <v>17</v>
      </c>
    </row>
    <row r="23" spans="1:3" x14ac:dyDescent="0.5">
      <c r="A23" s="1" t="s">
        <v>36</v>
      </c>
      <c r="B23" s="1" t="s">
        <v>25</v>
      </c>
      <c r="C23" s="1" t="s">
        <v>26</v>
      </c>
    </row>
    <row r="24" spans="1:3" x14ac:dyDescent="0.5">
      <c r="A24" s="1" t="s">
        <v>37</v>
      </c>
      <c r="B24" s="1" t="s">
        <v>25</v>
      </c>
      <c r="C24" s="1" t="s">
        <v>29</v>
      </c>
    </row>
    <row r="25" spans="1:3" x14ac:dyDescent="0.5">
      <c r="A25" s="1" t="s">
        <v>38</v>
      </c>
      <c r="B25" s="1" t="s">
        <v>4</v>
      </c>
      <c r="C25" s="1" t="s">
        <v>5</v>
      </c>
    </row>
    <row r="26" spans="1:3" x14ac:dyDescent="0.5">
      <c r="A26" s="1" t="s">
        <v>39</v>
      </c>
      <c r="B26" s="1" t="s">
        <v>25</v>
      </c>
      <c r="C26" s="1" t="s">
        <v>29</v>
      </c>
    </row>
    <row r="27" spans="1:3" x14ac:dyDescent="0.5">
      <c r="A27" s="1" t="s">
        <v>40</v>
      </c>
      <c r="B27" s="1" t="s">
        <v>7</v>
      </c>
      <c r="C27" s="1" t="s">
        <v>10</v>
      </c>
    </row>
    <row r="28" spans="1:3" x14ac:dyDescent="0.5">
      <c r="A28" s="1" t="s">
        <v>41</v>
      </c>
      <c r="B28" s="1" t="s">
        <v>25</v>
      </c>
      <c r="C28" s="1" t="s">
        <v>29</v>
      </c>
    </row>
    <row r="29" spans="1:3" x14ac:dyDescent="0.5">
      <c r="A29" s="1" t="s">
        <v>42</v>
      </c>
      <c r="B29" s="1" t="s">
        <v>7</v>
      </c>
      <c r="C29" s="1" t="s">
        <v>10</v>
      </c>
    </row>
    <row r="30" spans="1:3" x14ac:dyDescent="0.5">
      <c r="A30" s="1" t="s">
        <v>43</v>
      </c>
      <c r="B30" s="1" t="s">
        <v>16</v>
      </c>
      <c r="C30" s="1" t="s">
        <v>17</v>
      </c>
    </row>
    <row r="31" spans="1:3" x14ac:dyDescent="0.5">
      <c r="A31" s="1" t="s">
        <v>44</v>
      </c>
      <c r="B31" s="1" t="s">
        <v>16</v>
      </c>
      <c r="C31" s="1" t="s">
        <v>45</v>
      </c>
    </row>
    <row r="32" spans="1:3" x14ac:dyDescent="0.5">
      <c r="A32" s="1" t="s">
        <v>46</v>
      </c>
      <c r="B32" s="1" t="s">
        <v>7</v>
      </c>
      <c r="C32" s="1" t="s">
        <v>10</v>
      </c>
    </row>
    <row r="33" spans="1:3" x14ac:dyDescent="0.5">
      <c r="A33" s="1" t="s">
        <v>47</v>
      </c>
      <c r="B33" s="1" t="s">
        <v>16</v>
      </c>
      <c r="C33" s="1" t="s">
        <v>45</v>
      </c>
    </row>
    <row r="34" spans="1:3" x14ac:dyDescent="0.5">
      <c r="A34" s="1" t="s">
        <v>48</v>
      </c>
      <c r="B34" s="1" t="s">
        <v>4</v>
      </c>
      <c r="C34" s="1" t="s">
        <v>19</v>
      </c>
    </row>
    <row r="35" spans="1:3" x14ac:dyDescent="0.5">
      <c r="A35" s="1" t="s">
        <v>49</v>
      </c>
      <c r="B35" s="1" t="s">
        <v>25</v>
      </c>
      <c r="C35" s="1" t="s">
        <v>29</v>
      </c>
    </row>
    <row r="36" spans="1:3" x14ac:dyDescent="0.5">
      <c r="A36" s="1" t="s">
        <v>50</v>
      </c>
      <c r="B36" s="1" t="s">
        <v>25</v>
      </c>
      <c r="C36" s="1" t="s">
        <v>26</v>
      </c>
    </row>
    <row r="37" spans="1:3" x14ac:dyDescent="0.5">
      <c r="A37" s="1" t="s">
        <v>51</v>
      </c>
      <c r="B37" s="1" t="s">
        <v>4</v>
      </c>
      <c r="C37" s="1" t="s">
        <v>12</v>
      </c>
    </row>
    <row r="38" spans="1:3" x14ac:dyDescent="0.5">
      <c r="A38" s="1" t="s">
        <v>52</v>
      </c>
      <c r="B38" s="1" t="s">
        <v>7</v>
      </c>
      <c r="C38" s="1" t="s">
        <v>8</v>
      </c>
    </row>
    <row r="39" spans="1:3" x14ac:dyDescent="0.5">
      <c r="A39" s="1" t="s">
        <v>53</v>
      </c>
      <c r="B39" s="1" t="s">
        <v>16</v>
      </c>
      <c r="C39" s="1" t="s">
        <v>45</v>
      </c>
    </row>
    <row r="40" spans="1:3" x14ac:dyDescent="0.5">
      <c r="A40" s="1" t="s">
        <v>54</v>
      </c>
      <c r="B40" s="1" t="s">
        <v>16</v>
      </c>
      <c r="C40" s="1" t="s">
        <v>17</v>
      </c>
    </row>
    <row r="41" spans="1:3" x14ac:dyDescent="0.5">
      <c r="A41" s="1" t="s">
        <v>55</v>
      </c>
      <c r="B41" s="1" t="s">
        <v>4</v>
      </c>
      <c r="C41" s="1" t="s">
        <v>19</v>
      </c>
    </row>
    <row r="42" spans="1:3" x14ac:dyDescent="0.5">
      <c r="A42" s="1" t="s">
        <v>56</v>
      </c>
      <c r="B42" s="1" t="s">
        <v>25</v>
      </c>
      <c r="C42" s="1" t="s">
        <v>29</v>
      </c>
    </row>
    <row r="43" spans="1:3" x14ac:dyDescent="0.5">
      <c r="A43" s="1" t="s">
        <v>57</v>
      </c>
      <c r="B43" s="1" t="s">
        <v>4</v>
      </c>
      <c r="C43" s="1" t="s">
        <v>5</v>
      </c>
    </row>
    <row r="44" spans="1:3" x14ac:dyDescent="0.5">
      <c r="A44" s="1" t="s">
        <v>58</v>
      </c>
      <c r="B44" s="1" t="s">
        <v>4</v>
      </c>
      <c r="C44" s="1" t="s">
        <v>12</v>
      </c>
    </row>
    <row r="45" spans="1:3" x14ac:dyDescent="0.5">
      <c r="A45" s="1" t="s">
        <v>59</v>
      </c>
      <c r="B45" s="1" t="s">
        <v>7</v>
      </c>
      <c r="C45" s="1" t="s">
        <v>10</v>
      </c>
    </row>
    <row r="46" spans="1:3" x14ac:dyDescent="0.5">
      <c r="A46" s="1" t="s">
        <v>60</v>
      </c>
      <c r="B46" s="1" t="s">
        <v>16</v>
      </c>
      <c r="C46" s="1" t="s">
        <v>17</v>
      </c>
    </row>
    <row r="47" spans="1:3" x14ac:dyDescent="0.5">
      <c r="A47" s="1" t="s">
        <v>61</v>
      </c>
      <c r="B47" s="1" t="s">
        <v>4</v>
      </c>
      <c r="C47" s="1" t="s">
        <v>19</v>
      </c>
    </row>
    <row r="48" spans="1:3" x14ac:dyDescent="0.5">
      <c r="A48" s="1" t="s">
        <v>62</v>
      </c>
      <c r="B48" s="1" t="s">
        <v>7</v>
      </c>
      <c r="C48" s="1" t="s">
        <v>8</v>
      </c>
    </row>
    <row r="49" spans="1:3" x14ac:dyDescent="0.5">
      <c r="A49" s="1" t="s">
        <v>63</v>
      </c>
      <c r="B49" s="1" t="s">
        <v>4</v>
      </c>
      <c r="C49" s="1" t="s">
        <v>19</v>
      </c>
    </row>
    <row r="50" spans="1:3" x14ac:dyDescent="0.5">
      <c r="A50" s="1" t="s">
        <v>64</v>
      </c>
      <c r="B50" s="1" t="s">
        <v>25</v>
      </c>
      <c r="C50" s="1" t="s">
        <v>26</v>
      </c>
    </row>
    <row r="51" spans="1:3" x14ac:dyDescent="0.5">
      <c r="A51" s="1" t="s">
        <v>65</v>
      </c>
      <c r="B51" s="1" t="s">
        <v>7</v>
      </c>
      <c r="C51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2AA61F-5DAA-46C0-A741-BCA4FEB15F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census_merge</vt:lpstr>
      <vt:lpstr>Merge1</vt:lpstr>
      <vt:lpstr>regions</vt:lpstr>
      <vt:lpstr>Sheet1</vt:lpstr>
      <vt:lpstr>Merge1!ExternalData_1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2015-06-05T18:17:20Z</dcterms:created>
  <dcterms:modified xsi:type="dcterms:W3CDTF">2026-06-02T13:56:00Z</dcterms:modified>
</cp:coreProperties>
</file>